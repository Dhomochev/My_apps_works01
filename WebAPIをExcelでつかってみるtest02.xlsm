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0009881\OneDrive - Yokogawa Electric Corporation\デスクトップ\"/>
    </mc:Choice>
  </mc:AlternateContent>
  <xr:revisionPtr revIDLastSave="1307" documentId="13_ncr:1_{D32233D5-E1FF-4099-ABF6-C85AA74E9AC2}" xr6:coauthVersionLast="45" xr6:coauthVersionMax="45" xr10:uidLastSave="{64C3BA00-44EE-4C62-B7E3-B5E45144B9B9}"/>
  <bookViews>
    <workbookView xWindow="7308" yWindow="-15564" windowWidth="19800" windowHeight="14592" activeTab="1" xr2:uid="{C4AD319E-2570-41CB-9281-9236A43BB1F1}"/>
  </bookViews>
  <sheets>
    <sheet name="step0_1" sheetId="1" r:id="rId1"/>
    <sheet name="step1_0" sheetId="2" r:id="rId2"/>
    <sheet name="step2_0" sheetId="3" r:id="rId3"/>
    <sheet name="step3_0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  <c r="L9" i="3" l="1"/>
  <c r="L8" i="3"/>
  <c r="K10" i="3" s="1"/>
  <c r="K11" i="3" l="1"/>
  <c r="C6" i="2"/>
  <c r="K11" i="2" l="1"/>
  <c r="K10" i="2"/>
  <c r="O12" i="3"/>
  <c r="G17" i="3"/>
  <c r="C17" i="3"/>
  <c r="G8" i="2" l="1"/>
  <c r="G17" i="2"/>
  <c r="C17" i="2"/>
  <c r="K17" i="3" l="1"/>
  <c r="O12" i="2" l="1"/>
  <c r="K17" i="2"/>
  <c r="D10" i="1" l="1"/>
</calcChain>
</file>

<file path=xl/sharedStrings.xml><?xml version="1.0" encoding="utf-8"?>
<sst xmlns="http://schemas.openxmlformats.org/spreadsheetml/2006/main" count="259" uniqueCount="112">
  <si>
    <t>（めも）</t>
    <phoneticPr fontId="1"/>
  </si>
  <si>
    <t>32bitだと、jsonのパースが標準関数であったようだが、64bitでは、「VBA-JSON」をインストールするようだ。</t>
    <rPh sb="17" eb="19">
      <t>ヒョウジュン</t>
    </rPh>
    <rPh sb="19" eb="21">
      <t>カンスウ</t>
    </rPh>
    <phoneticPr fontId="1"/>
  </si>
  <si>
    <t xml:space="preserve">authorization: </t>
    <phoneticPr fontId="1"/>
  </si>
  <si>
    <t>[{"did":"M:TEMP;C:99;S:EGWTESTTEST002","name":"ModbusTESTv100-test01","status":1,"class":"sensor","typeId":{"version":2,"id":"49ca3cc0-0459-4547-b62d-3fe6f31e2fe6","pid":"d4a78fb5-48be-4165-a255-2742185c376f"},"registeredPid":"d4a78fb5-48be-4165-a255-2742185c376f"},{"did":"M:MTCH;C:01;S:SHIOMGWTEST011","name":"SHIO  MGW   TEST  011","status":3,"class":"gateway","typeId":{"version":0,"id":"005bec93-eedb-44bb-b369-38ccae7328bc","pid":"4be4709a-2eb0-492f-81b4-98f0314e5d1d"},"registeredPid":"c7b83640-b61c-4016-a20c-36c3408afd41"},{"did":"M:AMNM;C:00;S:AT9L180057","name":"AT9L180057","status":3,"class":"sensor","typeId":{"version":1,"id":"ec47ccb1-7865-4f88-a52f-14e76485a0de","pid":"83112148-9fdd-4263-92cf-5e7200ee70c7"},"registeredPid":"c7b83640-b61c-4016-a20c-36c3408afd41"},{"did":"M:TEMP;C:99;S:MGWTESTMODBUS001SHIO001","name":"ModbusTCP-TEST01","status":1,"class":"sensor","typeId":{"version":4,"id":"1fae8805-2d1a-482d-af68-c297df0dd59c","pid":"d4a78fb5-48be-4165-a255-2742185c376f"},"registeredPid":"d4a78fb5-48be-4165-a255-2742185c376f"},{"did":"M:AMNM;C:00;S:AT9L180052","name":"AT9l180052_12","status":3,"class":"sensor","typeId":{"version":1,"id":"ec47ccb1-7865-4f88-a52f-14e76485a0de","pid":"83112148-9fdd-4263-92cf-5e7200ee70c7"},"registeredPid":"c7b83640-b61c-4016-a20c-36c3408afd41"}]</t>
  </si>
  <si>
    <t>API respons</t>
    <phoneticPr fontId="1"/>
  </si>
  <si>
    <t>サンプルプログラムでは「Dictionary」と「XMLHTML60」クラスを使います。よって、参照設定にて「Microsoft Scripting Runtime」と「Microsoft XML, v6.0」をONにしておいてください。</t>
    <phoneticPr fontId="1"/>
  </si>
  <si>
    <t>copy</t>
    <phoneticPr fontId="1"/>
  </si>
  <si>
    <t>shio.inoue.work40+stag01@gmail.com / Yokogawa1</t>
    <phoneticPr fontId="1"/>
  </si>
  <si>
    <t>＞＞グループ：YOKOGAWA_SE_Demo</t>
    <phoneticPr fontId="1"/>
  </si>
  <si>
    <t>https://staging-amnimo.com/</t>
    <phoneticPr fontId="1"/>
  </si>
  <si>
    <t>●Input</t>
    <phoneticPr fontId="1"/>
  </si>
  <si>
    <t>subsc ID</t>
    <phoneticPr fontId="1"/>
  </si>
  <si>
    <t>28b8fb8a-3b82-4d13-a49c-e8b582e140ab</t>
    <phoneticPr fontId="1"/>
  </si>
  <si>
    <t>did</t>
    <phoneticPr fontId="1"/>
  </si>
  <si>
    <t>①まず、didをgetする</t>
    <phoneticPr fontId="1"/>
  </si>
  <si>
    <t>●response</t>
    <phoneticPr fontId="1"/>
  </si>
  <si>
    <t>API response-&gt;</t>
    <phoneticPr fontId="1"/>
  </si>
  <si>
    <t>Bearer eyJ0eXAiOiJKV1QiLCJhbGciOiJSUzI1NiIsImtpZCI6Ilg1ZVhrNHh5b2pORnVtMWtsMll0djhkbE5QNC1jNTdkTzZRR1RWQndhTmsifQ.eyJpc3MiOiJodHRwczovL3lrZ3djbGRzdGFnMmIyYy5iMmNsb2dpbi5jb20vODQ3MmEzYjgtMjcyZC00YzAwLWE2ZTQtZTEyMTJkNTVjNDk1L3YyLjAvIiwiZXhwIjoxNjE2NDg0NTYwLCJuYmYiOjE2MTY0ODA5NjAsImF1ZCI6ImEyOWMyNzIxLTBmMmQtNGQzYS04ODc0LTIxMGFmYzYzNjU5YyIsIm9pZCI6ImNkZjBmMWM5LTc1YTktNDZmOS05ZDNiLWI4OGM2Mjk2MWNkYyIsInN1YiI6ImNkZjBmMWM5LTc1YTktNDZmOS05ZDNiLWI4OGM2Mjk2MWNkYyIsImV4dGVuc2lvbl9OZXdzbGV0dGVyU3Vic2NyaXB0aW9uIjp0cnVlLCJleHRlbnNpb25fUHJpdmFjeVBvbGljeVZlcnNpb24iOiJ2MS4wIiwiZXh0ZW5zaW9uX1Rlcm1zVmVyc2lvbiI6InYxLjAiLCJuYW1lIjoic2hpby5pbm91ZS53b3JrNDArc3RhZzAxIiwiZ2l2ZW5fbmFtZSI6IuW_l-eUn3N0YWcwMSIsImpvYlRpdGxlIjoiNWZmNGFjZDktNGQxOC00NDAxLTk5NjQtZjJiNzY5MzFmYjc0IiwiZmFtaWx5X25hbWUiOiLkupXkuIoiLCJlbWFpbHMiOlsic2hpby5pbm91ZS53b3JrNDArc3RhZzAxQGdtYWlsLmNvbSJdLCJ0ZnAiOiJCMkNfMV9BTU5JTU9fU1VTSSIsIm5vbmNlIjoiQ2FNcEI1c1pNZTF6cTg3eUhRMFB0QkswYkZ5VXVnNWRLcXlENXNib1MySDBYSzc1djIiLCJzY3AiOiJ1c2VyX2ltcGVyc29uYXRpb24iLCJhenAiOiJhMzQ5OTlhYi00ZDVkLTQ3YjctYmUyMy1iODU5YTQ1NGE0NDkiLCJ2ZXIiOiIxLjAiLCJpYXQiOjE2MTY0ODA5NjB9.f50UVv3MZ6qVpWPb1TcuSVX9hvK5vJw8LJekAaD4MxHwm1x9SaYhvR8px3XSd8Tw8VpphcqwKOPjxZfnad3PodjCfn2sRdV1jGVUz8gdZ4zPwNX_ymyg-3d9c2l9isDbOIjxkXUfvKPBEAZXq-W_2TArdT7RW7SfctiNDbxA_96d8nTQpHbnaWAZWdqT0ZCZgC-r8Gf9MNxljTzSXYyuBxRv_Q8m7zwm4hjyFHAsrQFW8lhjFwW2MVGGu_VuYR43bkBNEHmmahhOAcD8fJkzdrWKcGAXKmjWSeOQI0oV6KAuTee05c_rDXI4eMnREPUaS3k9p1y0HAjzVYGqiNQDsA</t>
    <phoneticPr fontId="1"/>
  </si>
  <si>
    <t>Separated</t>
    <phoneticPr fontId="1"/>
  </si>
  <si>
    <t>{"did":"M:TEMP;C:99;S:EGWTESTTEST002","name":"ModbusTESTv100-test01","status":1,"class":"sensor","typeId":{"version":2,"id":"49ca3cc0-0459-4547-b62d-3fe6f31e2fe6","pid":"d4a78fb5-48be-4165-a255-2742185c376f"},"registeredPid":"d4a78fb5-48be-4165-a255-2742185c376f"}</t>
    <phoneticPr fontId="1"/>
  </si>
  <si>
    <t>{"did":"M:MTCH;C:01;S:SHIOMGWTEST011","name":"SHIO  MGW   TEST  011","status":3,"class":"gateway","typeId":{"version":0,"id":"005bec93-eedb-44bb-b369-38ccae7328bc","pid":"4be4709a-2eb0-492f-81b4-98f0314e5d1d"},"registeredPid":"c7b83640-b61c-4016-a20c-36c3408afd41"}</t>
    <phoneticPr fontId="1"/>
  </si>
  <si>
    <t>{"did":"M:AMNM;C:00;S:AT9L180057","name":"AT9L180057","status":3,"class":"sensor","typeId":{"version":1,"id":"ec47ccb1-7865-4f88-a52f-14e76485a0de","pid":"83112148-9fdd-4263-92cf-5e7200ee70c7"},"registeredPid":"c7b83640-b61c-4016-a20c-36c3408afd41"}</t>
    <phoneticPr fontId="1"/>
  </si>
  <si>
    <t>{"did":"M:TEMP;C:99;S:MGWTESTMODBUS001SHIO001","name":"ModbusTCP-TEST01","status":1,"class":"sensor","typeId":{"version":4,"id":"1fae8805-2d1a-482d-af68-c297df0dd59c","pid":"d4a78fb5-48be-4165-a255-2742185c376f"},"registeredPid":"d4a78fb5-48be-4165-a255-2742185c376f"}</t>
    <phoneticPr fontId="1"/>
  </si>
  <si>
    <t>{"did":"M:AMNM;C:00;S:AT9L180052","name":"AT9l180052_12","status":3,"class":"sensor","typeId":{"version":1,"id":"ec47ccb1-7865-4f88-a52f-14e76485a0de","pid":"83112148-9fdd-4263-92cf-5e7200ee70c7"},"registeredPid":"c7b83640-b61c-4016-a20c-36c3408afd41"}</t>
    <phoneticPr fontId="1"/>
  </si>
  <si>
    <t xml:space="preserve">{ "END":"hoge"} </t>
    <phoneticPr fontId="1"/>
  </si>
  <si>
    <t>セル手動コピー</t>
    <rPh sb="2" eb="4">
      <t>シュドウ</t>
    </rPh>
    <phoneticPr fontId="1"/>
  </si>
  <si>
    <t>{ "statusCode": 401, "message": "Invalid JWT." }</t>
    <phoneticPr fontId="1"/>
  </si>
  <si>
    <t>{_x000D_
  "did": "M:TEMP;C:99;S:EGWTESTTEST002",_x000D_
  "name": "ModbusTESTv100-test01",_x000D_
  "status": 1,_x000D_
  "class": "sensor",_x000D_
  "typeId": {_x000D_
    "version": 2,_x000D_
    "id": "49ca3cc0-0459-4547-b62d-3fe6f31e2fe6",_x000D_
    "pid": "d4a78fb5-48be-4165-a255-2742185c376f"_x000D_
  },_x000D_
  "registeredPid": "d4a78fb5-48be-4165-a255-2742185c376f"_x000D_
}</t>
    <phoneticPr fontId="1"/>
  </si>
  <si>
    <t>{_x000D_
  "did": "M:MTCH;C:01;S:SHIOMGWTEST011",_x000D_
  "name": "SHIO  MGW   TEST  011",_x000D_
  "status": 3,_x000D_
  "class": "gateway",_x000D_
  "typeId": {_x000D_
    "version": 0,_x000D_
    "id": "005bec93-eedb-44bb-b369-38ccae7328bc",_x000D_
    "pid": "4be4709a-2eb0-492f-81b4-98f0314e5d1d"_x000D_
  },_x000D_
  "registeredPid": "c7b83640-b61c-4016-a20c-36c3408afd41"_x000D_
}</t>
    <phoneticPr fontId="1"/>
  </si>
  <si>
    <t>{_x000D_
  "did": "M:AMNM;C:00;S:AT9L180057",_x000D_
  "name": "AT9L180057",_x000D_
  "status": 3,_x000D_
  "class": "sensor",_x000D_
  "typeId": {_x000D_
    "version": 1,_x000D_
    "id": "ec47ccb1-7865-4f88-a52f-14e76485a0de",_x000D_
    "pid": "83112148-9fdd-4263-92cf-5e7200ee70c7"_x000D_
  },_x000D_
  "registeredPid": "c7b83640-b61c-4016-a20c-36c3408afd41"_x000D_
}</t>
    <phoneticPr fontId="1"/>
  </si>
  <si>
    <t>{_x000D_
  "did": "M:TEMP;C:99;S:MGWTESTMODBUS001SHIO001",_x000D_
  "name": "ModbusTCP-TEST01",_x000D_
  "status": 1,_x000D_
  "class": "sensor",_x000D_
  "typeId": {_x000D_
    "version": 4,_x000D_
    "id": "1fae8805-2d1a-482d-af68-c297df0dd59c",_x000D_
    "pid": "d4a78fb5-48be-4165-a255-2742185c376f"_x000D_
  },_x000D_
  "registeredPid": "d4a78fb5-48be-4165-a255-2742185c376f"_x000D_
}</t>
    <phoneticPr fontId="1"/>
  </si>
  <si>
    <t>{_x000D_
  "did": "M:AMNM;C:00;S:AT9L180052",_x000D_
  "name": "AT9l180052_12",_x000D_
  "status": 3,_x000D_
  "class": "sensor",_x000D_
  "typeId": {_x000D_
    "version": 1,_x000D_
    "id": "ec47ccb1-7865-4f88-a52f-14e76485a0de",_x000D_
    "pid": "83112148-9fdd-4263-92cf-5e7200ee70c7"_x000D_
  },_x000D_
  "registeredPid": "c7b83640-b61c-4016-a20c-36c3408afd41"_x000D_
}</t>
    <phoneticPr fontId="1"/>
  </si>
  <si>
    <t>API response-&gt;</t>
    <phoneticPr fontId="1"/>
  </si>
  <si>
    <t>Extracted_1</t>
  </si>
  <si>
    <t>①手動貼り付け</t>
    <rPh sb="1" eb="3">
      <t>シュドウ</t>
    </rPh>
    <rPh sb="3" eb="4">
      <t>ハ</t>
    </rPh>
    <rPh sb="5" eb="6">
      <t>ツ</t>
    </rPh>
    <phoneticPr fontId="1"/>
  </si>
  <si>
    <t>②手動貼り付け</t>
    <rPh sb="1" eb="3">
      <t>シュドウ</t>
    </rPh>
    <rPh sb="3" eb="4">
      <t>ハ</t>
    </rPh>
    <rPh sb="5" eb="6">
      <t>ツ</t>
    </rPh>
    <phoneticPr fontId="1"/>
  </si>
  <si>
    <t>③</t>
    <phoneticPr fontId="1"/>
  </si>
  <si>
    <t>-</t>
    <phoneticPr fontId="1"/>
  </si>
  <si>
    <t>③手動貼り付け</t>
    <rPh sb="1" eb="3">
      <t>シュドウ</t>
    </rPh>
    <rPh sb="3" eb="4">
      <t>ハ</t>
    </rPh>
    <rPh sb="5" eb="6">
      <t>ツ</t>
    </rPh>
    <phoneticPr fontId="1"/>
  </si>
  <si>
    <t>seriesId</t>
    <phoneticPr fontId="1"/>
  </si>
  <si>
    <t>②次に、Sid(seriesID）をgetする</t>
    <rPh sb="1" eb="2">
      <t>ツギ</t>
    </rPh>
    <phoneticPr fontId="1"/>
  </si>
  <si>
    <t>time</t>
  </si>
  <si>
    <t>value</t>
  </si>
  <si>
    <t>&lt;params&gt;</t>
    <phoneticPr fontId="1"/>
  </si>
  <si>
    <t>Start</t>
    <phoneticPr fontId="1"/>
  </si>
  <si>
    <t>Count</t>
    <phoneticPr fontId="1"/>
  </si>
  <si>
    <t>End</t>
    <phoneticPr fontId="1"/>
  </si>
  <si>
    <t>32e5238d-7428-42ba-9f2a-5084f09480a0</t>
  </si>
  <si>
    <t>time_xls</t>
  </si>
  <si>
    <t>UTC</t>
    <phoneticPr fontId="1"/>
  </si>
  <si>
    <t>カウント→</t>
    <phoneticPr fontId="1"/>
  </si>
  <si>
    <t>（650が限界っぽい）</t>
    <rPh sb="5" eb="7">
      <t>ゲンカイ</t>
    </rPh>
    <phoneticPr fontId="1"/>
  </si>
  <si>
    <t>より関数の体系を整理して、ボタン毎に、返り値がつかいやすくなると、完璧。</t>
    <rPh sb="2" eb="4">
      <t>カンスウ</t>
    </rPh>
    <rPh sb="5" eb="7">
      <t>タイケイ</t>
    </rPh>
    <rPh sb="8" eb="10">
      <t>セイリ</t>
    </rPh>
    <rPh sb="16" eb="17">
      <t>ゴト</t>
    </rPh>
    <rPh sb="19" eb="20">
      <t>カエ</t>
    </rPh>
    <rPh sb="21" eb="22">
      <t>チ</t>
    </rPh>
    <rPh sb="33" eb="35">
      <t>カンペキ</t>
    </rPh>
    <phoneticPr fontId="1"/>
  </si>
  <si>
    <t>でもそのまえに、Excelの限界、なんか、オブジェクトのtext格納最大にひっかっかってそうだし</t>
    <rPh sb="14" eb="16">
      <t>ゲンカイ</t>
    </rPh>
    <rPh sb="32" eb="34">
      <t>カクノウ</t>
    </rPh>
    <rPh sb="34" eb="36">
      <t>サイダイ</t>
    </rPh>
    <phoneticPr fontId="1"/>
  </si>
  <si>
    <t>グラフも、最大パラメータ数が低そうだし、時間軸でソートできそうにないので、データの抜け漏れを補間できないし、</t>
    <rPh sb="5" eb="7">
      <t>サイダイ</t>
    </rPh>
    <rPh sb="12" eb="13">
      <t>スウ</t>
    </rPh>
    <rPh sb="14" eb="15">
      <t>ヒク</t>
    </rPh>
    <rPh sb="20" eb="23">
      <t>ジカンジク</t>
    </rPh>
    <rPh sb="41" eb="42">
      <t>ヌ</t>
    </rPh>
    <rPh sb="43" eb="44">
      <t>モ</t>
    </rPh>
    <rPh sb="46" eb="48">
      <t>ホカン</t>
    </rPh>
    <phoneticPr fontId="1"/>
  </si>
  <si>
    <t>csvに出力するなら、すでに実装されてるし。</t>
    <rPh sb="4" eb="6">
      <t>シュツリョク</t>
    </rPh>
    <rPh sb="14" eb="16">
      <t>ジッソウ</t>
    </rPh>
    <phoneticPr fontId="1"/>
  </si>
  <si>
    <t>ゲットするときの、paramの日時フォーマットの変換を改善するとか、ね。</t>
    <rPh sb="15" eb="17">
      <t>ニチジ</t>
    </rPh>
    <rPh sb="24" eb="26">
      <t>ヘンカン</t>
    </rPh>
    <rPh sb="27" eb="29">
      <t>カイゼン</t>
    </rPh>
    <phoneticPr fontId="1"/>
  </si>
  <si>
    <t>おわり。</t>
    <phoneticPr fontId="1"/>
  </si>
  <si>
    <t>gragh</t>
    <phoneticPr fontId="1"/>
  </si>
  <si>
    <t>Client ID</t>
    <phoneticPr fontId="1"/>
  </si>
  <si>
    <t>Secret</t>
    <phoneticPr fontId="1"/>
  </si>
  <si>
    <t>BearerToken-Res</t>
    <phoneticPr fontId="1"/>
  </si>
  <si>
    <t>ExcelwithWebAPI01</t>
    <phoneticPr fontId="1"/>
  </si>
  <si>
    <t>d57146be-9a45-4997-9010-569073b9960f</t>
    <phoneticPr fontId="1"/>
  </si>
  <si>
    <t>20210326ExcelAPI01</t>
    <phoneticPr fontId="1"/>
  </si>
  <si>
    <t>T.qZ-1pEQ4Uzoau0vMl2B3u_hXJdd_32SU</t>
    <phoneticPr fontId="1"/>
  </si>
  <si>
    <t>memo</t>
    <phoneticPr fontId="1"/>
  </si>
  <si>
    <t>Extracted_1</t>
    <phoneticPr fontId="1"/>
  </si>
  <si>
    <t>Extracted_sid</t>
    <phoneticPr fontId="1"/>
  </si>
  <si>
    <t>M:TEMP;C:99;S:EGWTESTTEST002</t>
    <phoneticPr fontId="1"/>
  </si>
  <si>
    <t>M:MTCH;C:01;S:SHIOMGWTEST011</t>
    <phoneticPr fontId="1"/>
  </si>
  <si>
    <t>M:TEMP;C:99;S:MGWTESTMODBUS001SHIO001</t>
    <phoneticPr fontId="1"/>
  </si>
  <si>
    <t>M:AMNM;C:00;S:AT9L180052</t>
    <phoneticPr fontId="1"/>
  </si>
  <si>
    <t>M:AMNM;C:00;S:AT9L180057</t>
    <phoneticPr fontId="1"/>
  </si>
  <si>
    <t>M:AMNM;C:00;S:AT9L180057</t>
    <phoneticPr fontId="1"/>
  </si>
  <si>
    <t>Analog Input</t>
    <phoneticPr fontId="1"/>
  </si>
  <si>
    <t>Current Location</t>
    <phoneticPr fontId="1"/>
  </si>
  <si>
    <t>Lora SNR ratio</t>
    <phoneticPr fontId="1"/>
  </si>
  <si>
    <t>Received Signal Strength Indication</t>
    <phoneticPr fontId="1"/>
  </si>
  <si>
    <t>Packet sequence number</t>
    <phoneticPr fontId="1"/>
  </si>
  <si>
    <t>RX central frequency</t>
    <phoneticPr fontId="1"/>
  </si>
  <si>
    <t>access_token：</t>
    <phoneticPr fontId="1"/>
  </si>
  <si>
    <t>347d94fb-a965-43eb-9ef6-1ab7b27b0534</t>
    <phoneticPr fontId="1"/>
  </si>
  <si>
    <t>gragh</t>
    <phoneticPr fontId="1"/>
  </si>
  <si>
    <t>【カスタマーポータルからWebでログインしてからBearer tokenをC&amp;Pしてたのを、外部メンバー登録のClient IDとsecretで、access tokenを一発でとってみる。リフレッシュとか考えない。】</t>
    <rPh sb="46" eb="48">
      <t>ガイブ</t>
    </rPh>
    <rPh sb="52" eb="54">
      <t>トウロク</t>
    </rPh>
    <rPh sb="86" eb="88">
      <t>イッパツ</t>
    </rPh>
    <rPh sb="103" eb="104">
      <t>カンガ</t>
    </rPh>
    <phoneticPr fontId="1"/>
  </si>
  <si>
    <t>【まずは、Bearer tokenをC&amp;Pしてグラフを書くところまで】</t>
    <rPh sb="27" eb="28">
      <t>カ</t>
    </rPh>
    <phoneticPr fontId="1"/>
  </si>
  <si>
    <t>【とりあえず、何が使えるのか、実験】</t>
    <rPh sb="7" eb="8">
      <t>ナニ</t>
    </rPh>
    <rPh sb="9" eb="10">
      <t>ツカ</t>
    </rPh>
    <rPh sb="15" eb="17">
      <t>ジッケン</t>
    </rPh>
    <phoneticPr fontId="1"/>
  </si>
  <si>
    <t>STAGE</t>
    <phoneticPr fontId="1"/>
  </si>
  <si>
    <t>ログイン/PW</t>
    <phoneticPr fontId="1"/>
  </si>
  <si>
    <t>[{"did":"M:TEMP;C:99;S:EGWTESTTEST002","name":"ModbusTESTv100-test01","status":1,"class":"sensor","typeId":{"version":2,"id":"49ca3cc0-0459-4547-b62d-3fe6f31e2fe6","pid":"d4a78fb5-48be-4165-a255-2742185c376f"},"registeredPid":"d4a78fb5-48be-4165-a255-2742185c376f"},{"did":"M:TEMP;C:99;S:MGWTESTMODBUS001SHIO001","name":"ModbusTCP-TEST01","status":1,"class":"sensor","typeId":{"version":4,"id":"1fae8805-2d1a-482d-af68-c297df0dd59c","pid":"d4a78fb5-48be-4165-a255-2742185c376f"},"registeredPid":"d4a78fb5-48be-4165-a255-2742185c376f"},{"did":"M:MTCH;C:01;S:SHIOMGWTEST011","name":"SHIO  MGW   TEST  011","status":3,"class":"gateway","typeId":{"version":0,"id":"005bec93-eedb-44bb-b369-38ccae7328bc","pid":"4be4709a-2eb0-492f-81b4-98f0314e5d1d"},"registeredPid":"c7b83640-b61c-4016-a20c-36c3408afd41"},{"did":"M:AMNM;C:00;S:AT9L180057","name":"AT9L180057","status":3,"class":"sensor","typeId":{"version":1,"id":"ec47ccb1-7865-4f88-a52f-14e76485a0de","pid":"83112148-9fdd-4263-92cf-5e7200ee70c7"},"registeredPid":"c7b83640-b61c-4016-a20c-36c3408afd41"},{"did":"M:AMNM;C:00;S:AT9L180052","name":"AT9l180052_12","status":3,"class":"sensor","typeId":{"version":1,"id":"ec47ccb1-7865-4f88-a52f-14e76485a0de","pid":"83112148-9fdd-4263-92cf-5e7200ee70c7"},"registeredPid":"c7b83640-b61c-4016-a20c-36c3408afd41"}]</t>
    <phoneticPr fontId="1"/>
  </si>
  <si>
    <t>Separated_2</t>
    <phoneticPr fontId="1"/>
  </si>
  <si>
    <t>（セルコピーして。Token有効期限が変）</t>
    <rPh sb="14" eb="16">
      <t>ユウコウ</t>
    </rPh>
    <rPh sb="16" eb="18">
      <t>キゲン</t>
    </rPh>
    <rPh sb="19" eb="20">
      <t>ヘン</t>
    </rPh>
    <phoneticPr fontId="1"/>
  </si>
  <si>
    <t>→いや、なんか日付時刻セルになんとか変換して、散布図にしたら、ちゃんと日付時間の位置に点があって、整合とれてそう。よき。</t>
    <rPh sb="7" eb="9">
      <t>ヒヅケ</t>
    </rPh>
    <rPh sb="9" eb="11">
      <t>ジコク</t>
    </rPh>
    <rPh sb="18" eb="20">
      <t>ヘンカン</t>
    </rPh>
    <rPh sb="23" eb="25">
      <t>サンプ</t>
    </rPh>
    <rPh sb="25" eb="26">
      <t>ズ</t>
    </rPh>
    <rPh sb="35" eb="37">
      <t>ヒヅケ</t>
    </rPh>
    <rPh sb="37" eb="39">
      <t>ジカン</t>
    </rPh>
    <rPh sb="40" eb="42">
      <t>イチ</t>
    </rPh>
    <rPh sb="43" eb="44">
      <t>テン</t>
    </rPh>
    <rPh sb="49" eb="51">
      <t>セイゴウ</t>
    </rPh>
    <phoneticPr fontId="1"/>
  </si>
  <si>
    <t>{"activatedTs":"2021-03-18T07:27:02.5707934Z","attrs":{"appKey":"FD395D43549D7F7D0627F2594AD7B3A6","appEUI":"59-4B-47-57-30-32-30-31","devEUI":"00-00-64-FF-FE-A3-F2-E7","loraType":"A","appPort":"2","ackAttempts":"true","ackRetries":"0","rxWindow":"2"},"class":"sensor","configInfo":{"desiredVer":2,"reportedVer":0},"config":[{"key":"adaptDataRate","name":"Adaptive Data Rate","progress":2,"read":{"ts":"2021-03-31T05:22:03.307577Z","value":"0"},"unit":null,"write":{"ts":null,"value":"0"}},{"key":"loraClass","name":"LoRa Class","progress":2,"read":{"ts":"2021-03-31T05:22:03.307577Z","value":"0"},"unit":null,"write":{"ts":null,"value":"0"}},{"key":"retryTimes","name":"Retry Times","progress":2,"read":{"ts":"2021-03-31T05:22:03.307577Z","value":"8"},"unit":null,"write":{"ts":null,"value":"8"}},{"key":"transInterval","name":"Transmission Interval","progress":2,"read":{"ts":"2021-03-31T05:22:03.307577Z","value":"720"},"unit":"s","write":{"ts":"2021-03-31T05:16:27.6909397Z","value":"720"}},{"key":"inputInterval","name":"Input Interval","progress":2,"read":{"ts":"2021-03-31T05:22:13.198438Z","value":"0"},"unit":"ms","write":{"ts":null,"value":"0"}},{"key":"highAlrmDetection","name":"High Alarm Detection","progress":2,"read":{"ts":"2021-03-31T05:22:23.214026Z","value":"1"},"unit":null,"write":{"ts":"2021-02-07T15:57:54.1213999Z","value":"1"}},{"key":"highAlrmOnDelay","name":"High Alarm On Delay","progress":2,"read":{"ts":"2021-03-31T05:22:23.214026Z","value":"1"},"unit":null,"write":{"ts":null,"value":"1"}},{"key":"highAlrmThreshold","name":"High Alarm Threshold","progress":2,"read":{"ts":"2021-03-31T05:22:23.214026Z","value":"0"},"unit":"V","write":{"ts":null,"value":"0"}},{"key":"lowAlrmDetection","name":"Low Alarm Detection","progress":2,"read":{"ts":"2021-03-31T05:22:33.278922Z","value":"1"},"unit":null,"write":{"ts":null,"value":"0"}},{"key":"lowAlrmOnDelay","name":"Low Alarm On Delay","progress":2,"read":{"ts":"2021-03-31T05:22:33.278922Z","value":"1"},"unit":null,"write":{"ts":null,"value":"1"}},{"key":"lowAlrmThreshold","name":"Low Alarm Threshold","progress":2,"read":{"ts":"2021-03-31T05:22:33.278922Z","value":"50"},"unit":"V","write":{"ts":null,"value":"0"}}],"did":"M:AMNM;C:00;S:AT9L180052","extAttr":{},"name":"AT9l180052_12","parentGatewayId":"M:MTCH;C:01;S:SHIOMGWTEST011","pid":"28b8fb8a-3b82-4d13-a49c-e8b582e140ab","props":[{"conversions":[],"meta":{},"dataType":"Double","key":"0X51AnalogInput","name":"Analog Input","seriesId":"32e5238d-7428-42ba-9f2a-5084f09480a0","sysGen":null,"uom":"voltage"},{"conversions":[],"meta":{},"dataType":"String","key":"currentLocation","name":"Current Location","seriesId":"52bdf80d-20f0-4a05-8e8e-a79a29f1407f","sysGen":null,"uom":"point"},{"conversions":[],"meta":{},"dataType":"Double","key":"lsnr","name":"Lora SNR ratio","seriesId":"af0a60f2-156f-4291-ad8d-8ea4743fdc92","sysGen":null,"uom":"decibel"},{"conversions":[],"meta":{},"dataType":"Int32","key":"rssi","name":"Received Signal Strength Indication","seriesId":"f434bc54-6e15-45cc-b831-f463382676bb","sysGen":null,"uom":"decibelMilliwatt"},{"conversions":[],"meta":{},"dataType":"Int32","key":"seqn","name":"Packet sequence number","seriesId":"3a6104b2-a1de-43c5-8747-1bb24ea6fb8f","sysGen":null,"uom":""},{"conversions":[],"meta":{},"dataType":"Double","key":"freq","name":"RX central frequency","seriesId":"d34c127c-f755-4caf-bd25-16987566ca1f","sysGen":null,"uom":"megaHertz"}],"registeredPid":"c7b83640-b61c-4016-a20c-36c3408afd41","serialNumber":null,"status":3,"typeId":{"version":1,"id":"ec47ccb1-7865-4f88-a52f-14e76485a0de","pid":"83112148-9fdd-4263-92cf-5e7200ee70c7"}}</t>
    <phoneticPr fontId="1"/>
  </si>
  <si>
    <t>【AT9l180052_12】</t>
    <phoneticPr fontId="1"/>
  </si>
  <si>
    <t>32e5238d-7428-42ba-9f2a-5084f09480a0</t>
    <phoneticPr fontId="1"/>
  </si>
  <si>
    <t>52bdf80d-20f0-4a05-8e8e-a79a29f1407f</t>
    <phoneticPr fontId="1"/>
  </si>
  <si>
    <t>af0a60f2-156f-4291-ad8d-8ea4743fdc92</t>
    <phoneticPr fontId="1"/>
  </si>
  <si>
    <t>f434bc54-6e15-45cc-b831-f463382676bb</t>
    <phoneticPr fontId="1"/>
  </si>
  <si>
    <t>3a6104b2-a1de-43c5-8747-1bb24ea6fb8f</t>
    <phoneticPr fontId="1"/>
  </si>
  <si>
    <t>d34c127c-f755-4caf-bd25-16987566ca1f</t>
    <phoneticPr fontId="1"/>
  </si>
  <si>
    <t>【AT9L180057】</t>
    <phoneticPr fontId="1"/>
  </si>
  <si>
    <t>7f91cfde-a09e-4d97-b7d6-a86add300d6c</t>
    <phoneticPr fontId="1"/>
  </si>
  <si>
    <t>5ed39b66-5ae0-46c8-b6e2-343d8c4628c2</t>
    <phoneticPr fontId="1"/>
  </si>
  <si>
    <t>f0998a8e-ffa3-4064-9ba6-463b7e77d22c</t>
    <phoneticPr fontId="1"/>
  </si>
  <si>
    <t>86099fd9-7dda-41ed-b0e9-9a8e80c9b8d3</t>
    <phoneticPr fontId="1"/>
  </si>
  <si>
    <t>c71f9d3c-9fa2-4200-bc91-8d4554950432</t>
    <phoneticPr fontId="1"/>
  </si>
  <si>
    <t>2021-03-31T18:00:00.000Z</t>
    <phoneticPr fontId="1"/>
  </si>
  <si>
    <t>[]</t>
    <phoneticPr fontId="1"/>
  </si>
  <si>
    <t>Bearer eyJ0eXAiOiJKV1QiLCJhbGciOiJSUzI1NiIsIng1dCI6Im5PbzNaRHJPRFhFSzFqS1doWHNsSFJfS1hFZyIsImtpZCI6Im5PbzNaRHJPRFhFSzFqS1doWHNsSFJfS1hFZyJ9.eyJhdWQiOiJodHRwczovL3lrZ3djbGRzZXJ2c3RhZy5vbm1pY3Jvc29mdC5jb20veWtndy1zdGFnMi1hcGktbWFuYWdlbWVudCIsImlzcyI6Imh0dHBzOi8vc3RzLndpbmRvd3MubmV0LzBiNDFhNDczLWNlMDctNDdhMi04OWRhLWUxMDQyOGQzYTY1OS8iLCJpYXQiOjE2MjAyNjgwNjAsIm5iZiI6MTYyMDI2ODA2MCwiZXhwIjoxNjIwMzU0NzYwLCJhaW8iOiJFMlpnWUFpUVNmb1hWUmJ1dWxkSU41TjN0NG96QUE9PSIsImFwcGlkIjoiZDU3MTQ2YmUtOWE0NS00OTk3LTkwMTAtNTY5MDczYjk5NjBmIiwiYXBwaWRhY3IiOiIxIiwiaWRwIjoiaHR0cHM6Ly9zdHMud2luZG93cy5uZXQvMGI0MWE0NzMtY2UwNy00N2EyLTg5ZGEtZTEwNDI4ZDNhNjU5LyIsIm9pZCI6Ijk1NjY5N2MzLWNmOTItNGZhNy04NDVkLTliZTM4Njg0OTU0MCIsInJoIjoiMC5BVk1BYzZSQkN3Zk9va2VKMnVFRUtOT21XYjVHY2RWRm1wZEprQkJXa0hPNWxnOVRBQUEuIiwic3ViIjoiOTU2Njk3YzMtY2Y5Mi00ZmE3LTg0NWQtOWJlMzg2ODQ5NTQwIiwidGlkIjoiMGI0MWE0NzMtY2UwNy00N2EyLTg5ZGEtZTEwNDI4ZDNhNjU5IiwidXRpIjoieGxhV2dlZlpWVTZsN21BXzZCNHBBQSIsInZlciI6IjEuMCJ9.JjkhY-ImzSo3isKdLnOVUva86qO-il8E22Ssfz5Ai70pPSG1GlLfulhXdUUxUZvvxXjRDH7f7roTjIVgR2YiVPqMAvGiiNoPiItbXWgfshXKEnfDamKIYUfiRuCcMnKLgOvxLuIEaUVKDluz04zXu_iWHfkrytaueawWZPQQSwt83gcLNzP2M7CLspYwNwfG1ej0tyaWoucqXXfu-ZL5bJFLXrZsqF-icI7UxeC8PRVNNps2wTanmTMxI25Hic8tsYekISF1Xf5ROw_iZ7wnro1Ph4qofUXr9LXjOTDDW3y5xBX3386E_342rqsb7IOgAxXOh1fuyrACi8ChZisW4Q</t>
    <phoneticPr fontId="1"/>
  </si>
  <si>
    <t>[{"did":"M:TEMP;C:99;S:EGWTESTTEST002","name":"ModbusTESTv100-test01","status":1,"class":"sensor","typeId":{"version":2,"id":"49ca3cc0-0459-4547-b62d-3fe6f31e2fe6","pid":"d4a78fb5-48be-4165-a255-2742185c376f"},"registeredPid":"d4a78fb5-48be-4165-a255-2742185c376f"},{"did":"M:TEMP;C:99;S:MGWTESTMODBUS001SHIO001","name":"ModbusTCP-TEST01","status":1,"class":"sensor","typeId":{"version":4,"id":"1fae8805-2d1a-482d-af68-c297df0dd59c","pid":"d4a78fb5-48be-4165-a255-2742185c376f"},"registeredPid":"d4a78fb5-48be-4165-a255-2742185c376f"},{"did":"M:AMNM;C:00;S:AT9L180052","name":"AT9l180052_12","status":3,"class":"sensor","typeId":{"version":1,"id":"ec47ccb1-7865-4f88-a52f-14e76485a0de","pid":"83112148-9fdd-4263-92cf-5e7200ee70c7"},"registeredPid":"c7b83640-b61c-4016-a20c-36c3408afd41"},{"did":"M:MTCH;C:01;S:SHIOMGWTEST011","name":"SHIO  MGW   TEST  011","status":3,"class":"gateway","typeId":{"version":0,"id":"005bec93-eedb-44bb-b369-38ccae7328bc","pid":"4be4709a-2eb0-492f-81b4-98f0314e5d1d"},"registeredPid":"c7b83640-b61c-4016-a20c-36c3408afd41"},{"did":"M:AMNM;C:00;S:AT9L180057","name":"AT9L180057","status":3,"class":"sensor","typeId":{"version":1,"id":"ec47ccb1-7865-4f88-a52f-14e76485a0de","pid":"83112148-9fdd-4263-92cf-5e7200ee70c7"},"registeredPid":"c7b83640-b61c-4016-a20c-36c3408afd41"}]</t>
    <phoneticPr fontId="1"/>
  </si>
  <si>
    <t>{"activatedTs":"2021-03-18T07:28:20.5116136Z","attrs":{"appKey":"8FDE0DDEE65B8A828AFAFD9F6605B0D1","appEUI":"59-4B-47-57-30-32-30-31","devEUI":"00-00-64-FF-FE-A3-F2-EC","loraType":"A","appPort":"2","ackAttempts":"true","ackRetries":"0","rxWindow":"2"},"class":"sensor","configInfo":{"desiredVer":1,"reportedVer":0},"config":[{"key":"firmwareVersion","name":"Firmware Version","progress":2,"read":{"ts":null,"value":"1.0"},"unit":null,"write":{"ts":null,"value":"1.0"}},{"key":"adaptDataRate","name":"Adaptive Data Rate","progress":2,"read":{"ts":"2021-04-29T06:52:32.630758Z","value":"0"},"unit":null,"write":{"ts":null,"value":"0"}},{"key":"loraClass","name":"LoRa Class","progress":2,"read":{"ts":"2021-04-29T06:52:32.630758Z","value":"0"},"unit":null,"write":{"ts":null,"value":"0"}},{"key":"retryTimes","name":"Retry Times","progress":2,"read":{"ts":"2021-04-29T06:52:32.630758Z","value":"8"},"unit":null,"write":{"ts":null,"value":"8"}},{"key":"transInterval","name":"Transmission Interval","progress":2,"read":{"ts":"2021-04-29T06:52:32.630758Z","value":"1200"},"unit":"s","write":{"ts":"2021-03-31T01:42:52.7034345Z","value":"1200"}},{"key":"inputInterval","name":"Input Interval","progress":2,"read":{"ts":"2021-04-29T06:52:42.645231Z","value":"0"},"unit":"ms","write":{"ts":null,"value":"0"}},{"key":"highAlrmDetection","name":"High Alarm Detection","progress":2,"read":{"ts":"2021-04-29T06:52:52.754913Z","value":"0"},"unit":null,"write":{"ts":null,"value":"0"}},{"key":"highAlrmOnDelay","name":"High Alarm On Delay","progress":2,"read":{"ts":"2021-04-29T06:52:52.754913Z","value":"1"},"unit":null,"write":{"ts":null,"value":"1"}},{"key":"highAlrmThreshold","name":"High Alarm Threshold","progress":2,"read":{"ts":"2021-04-29T06:52:52.754913Z","value":"300"},"unit":"V","write":{"ts":null,"value":"0"}},{"key":"lowAlrmDetection","name":"Low Alarm Detection","progress":2,"read":{"ts":"2021-04-29T06:53:02.950524Z","value":"0"},"unit":null,"write":{"ts":null,"value":"0"}},{"key":"lowAlrmOnDelay","name":"Low Alarm On Delay","progress":2,"read":{"ts":"2021-04-29T06:53:02.950524Z","value":"1"},"unit":null,"write":{"ts":null,"value":"1"}},{"key":"lowAlrmThreshold","name":"Low Alarm Threshold","progress":2,"read":{"ts":"2021-04-29T06:53:02.950524Z","value":"0"},"unit":"V","write":{"ts":null,"value":"0"}}],"did":"M:AMNM;C:00;S:AT9L180057","extAttr":{},"name":"AT9L180057","parentGatewayId":"M:MTCH;C:01;S:SHIOMGWTEST011","pid":"28b8fb8a-3b82-4d13-a49c-e8b582e140ab","props":[{"conversions":[],"meta":{},"dataType":"Double","key":"0X51AnalogInput","name":"Analog Input","seriesId":"347d94fb-a965-43eb-9ef6-1ab7b27b0534","sysGen":null,"uom":"voltage"},{"conversions":[],"meta":{},"dataType":"String","key":"currentLocation","name":"Current Location","seriesId":"7f91cfde-a09e-4d97-b7d6-a86add300d6c","sysGen":null,"uom":"point"},{"conversions":[],"meta":{},"dataType":"Double","key":"lsnr","name":"Lora SNR ratio","seriesId":"5ed39b66-5ae0-46c8-b6e2-343d8c4628c2","sysGen":null,"uom":"decibel"},{"conversions":[],"meta":{},"dataType":"Int32","key":"rssi","name":"Received Signal Strength Indication","seriesId":"f0998a8e-ffa3-4064-9ba6-463b7e77d22c","sysGen":null,"uom":"decibelMilliwatt"},{"conversions":[],"meta":{},"dataType":"Int32","key":"seqn","name":"Packet sequence number","seriesId":"86099fd9-7dda-41ed-b0e9-9a8e80c9b8d3","sysGen":null,"uom":""},{"conversions":[],"meta":{},"dataType":"Double","key":"freq","name":"RX central frequency","seriesId":"c71f9d3c-9fa2-4200-bc91-8d4554950432","sysGen":null,"uom":"megaHertz"}],"registeredPid":"c7b83640-b61c-4016-a20c-36c3408afd41","serialNumber":null,"status":3,"typeId":{"version":1,"id":"ec47ccb1-7865-4f88-a52f-14e76485a0de","pid":"83112148-9fdd-4263-92cf-5e7200ee70c7"}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</si>
</sst>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\ h:m"/>
    <numFmt numFmtId="177" formatCode="d&quot;[&quot;h:m&quot;]&quot;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Consolas"/>
      <family val="3"/>
    </font>
    <font>
      <sz val="14"/>
      <color theme="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2" fillId="2" borderId="0" xfId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step1_0!$O$19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step1_0!$N$20:$N$494</c:f>
              <c:numCache>
                <c:formatCode>d\ h:m</c:formatCode>
                <c:ptCount val="475"/>
              </c:numCache>
            </c:numRef>
          </c:xVal>
          <c:yVal>
            <c:numRef>
              <c:f>step1_0!$O$20:$O$494</c:f>
              <c:numCache>
                <c:formatCode>General</c:formatCode>
                <c:ptCount val="47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8-4F27-9B1E-B6E9371B6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9120"/>
        <c:axId val="468585352"/>
      </c:scatterChart>
      <c:valAx>
        <c:axId val="468579120"/>
        <c:scaling>
          <c:orientation val="minMax"/>
        </c:scaling>
        <c:delete val="0"/>
        <c:axPos val="b"/>
        <c:numFmt formatCode="d\ h: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8585352"/>
        <c:crosses val="autoZero"/>
        <c:crossBetween val="midCat"/>
      </c:valAx>
      <c:valAx>
        <c:axId val="46858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857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step2_0!$O$19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step2_0!$N$20:$N$494</c:f>
              <c:numCache>
                <c:formatCode>d"["h:m"]"</c:formatCode>
                <c:ptCount val="475"/>
              </c:numCache>
            </c:numRef>
          </c:xVal>
          <c:yVal>
            <c:numRef>
              <c:f>step2_0!$O$20:$O$494</c:f>
              <c:numCache>
                <c:formatCode>General</c:formatCode>
                <c:ptCount val="47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6-49B5-8385-589E1D108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9120"/>
        <c:axId val="468585352"/>
      </c:scatterChart>
      <c:valAx>
        <c:axId val="468579120"/>
        <c:scaling>
          <c:orientation val="minMax"/>
        </c:scaling>
        <c:delete val="0"/>
        <c:axPos val="b"/>
        <c:numFmt formatCode="d&quot;[&quot;h:m&quot;]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8585352"/>
        <c:crosses val="autoZero"/>
        <c:crossBetween val="midCat"/>
      </c:valAx>
      <c:valAx>
        <c:axId val="46858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857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step2_0!$O$19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step2_0!$N$20:$N$700</c:f>
              <c:numCache>
                <c:formatCode>d"["h:m"]"</c:formatCode>
                <c:ptCount val="681"/>
              </c:numCache>
            </c:numRef>
          </c:xVal>
          <c:yVal>
            <c:numRef>
              <c:f>step2_0!$O$20:$O$700</c:f>
              <c:numCache>
                <c:formatCode>General</c:formatCode>
                <c:ptCount val="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3-463C-BE03-0D035C660BB0}"/>
            </c:ext>
          </c:extLst>
        </c:ser>
        <c:ser>
          <c:idx val="1"/>
          <c:order val="1"/>
          <c:tx>
            <c:v>value2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step1_0!$N$20:$N$700</c:f>
              <c:numCache>
                <c:formatCode>d\ h:m</c:formatCode>
                <c:ptCount val="681"/>
              </c:numCache>
            </c:numRef>
          </c:xVal>
          <c:yVal>
            <c:numRef>
              <c:f>step1_0!$O$20:$O$700</c:f>
              <c:numCache>
                <c:formatCode>General</c:formatCode>
                <c:ptCount val="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3-463C-BE03-0D035C66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9120"/>
        <c:axId val="468585352"/>
      </c:scatterChart>
      <c:valAx>
        <c:axId val="468579120"/>
        <c:scaling>
          <c:orientation val="minMax"/>
        </c:scaling>
        <c:delete val="0"/>
        <c:axPos val="b"/>
        <c:numFmt formatCode="d&quot;[&quot;h:m&quot;]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8585352"/>
        <c:crosses val="autoZero"/>
        <c:crossBetween val="midCat"/>
      </c:valAx>
      <c:valAx>
        <c:axId val="46858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857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97971</xdr:colOff>
      <xdr:row>5</xdr:row>
      <xdr:rowOff>163286</xdr:rowOff>
    </xdr:from>
    <xdr:to>
      <xdr:col>10</xdr:col>
      <xdr:colOff>680704</xdr:colOff>
      <xdr:row>12</xdr:row>
      <xdr:rowOff>338806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1485" y="1306286"/>
          <a:ext cx="4022619" cy="2994920"/>
        </a:xfrm>
        <a:prstGeom prst="rect">
          <a:avLst/>
        </a:prstGeom>
      </xdr:spPr>
    </xdr:pic>
    <xdr:clientData/>
  </xdr:twoCellAnchor>
  <xdr:twoCellAnchor editAs="oneCell">
    <xdr:from>
      <xdr:col>12</xdr:col>
      <xdr:colOff>228600</xdr:colOff>
      <xdr:row>5</xdr:row>
      <xdr:rowOff>206829</xdr:rowOff>
    </xdr:from>
    <xdr:to>
      <xdr:col>16</xdr:col>
      <xdr:colOff>728595</xdr:colOff>
      <xdr:row>10</xdr:row>
      <xdr:rowOff>90516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01600" y="1349829"/>
          <a:ext cx="3939881" cy="1897544"/>
        </a:xfrm>
        <a:prstGeom prst="rect">
          <a:avLst/>
        </a:prstGeom>
      </xdr:spPr>
    </xdr:pic>
    <xdr:clientData/>
  </xdr:twoCellAnchor>
  <xdr:twoCellAnchor editAs="oneCell">
    <xdr:from>
      <xdr:col>6</xdr:col>
      <xdr:colOff>478973</xdr:colOff>
      <xdr:row>2</xdr:row>
      <xdr:rowOff>108857</xdr:rowOff>
    </xdr:from>
    <xdr:to>
      <xdr:col>12</xdr:col>
      <xdr:colOff>520788</xdr:colOff>
      <xdr:row>3</xdr:row>
      <xdr:rowOff>369083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02487" y="566057"/>
          <a:ext cx="5197290" cy="662997"/>
        </a:xfrm>
        <a:prstGeom prst="rect">
          <a:avLst/>
        </a:prstGeom>
      </xdr:spPr>
    </xdr:pic>
    <xdr:clientData/>
  </xdr:twoCellAnchor>
  <xdr:twoCellAnchor editAs="oneCell">
    <xdr:from>
      <xdr:col>19</xdr:col>
      <xdr:colOff>348343</xdr:colOff>
      <xdr:row>5</xdr:row>
      <xdr:rowOff>206828</xdr:rowOff>
    </xdr:from>
    <xdr:to>
      <xdr:col>24</xdr:col>
      <xdr:colOff>821196</xdr:colOff>
      <xdr:row>10</xdr:row>
      <xdr:rowOff>341997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45743" y="1349828"/>
          <a:ext cx="4770533" cy="2149026"/>
        </a:xfrm>
        <a:prstGeom prst="rect">
          <a:avLst/>
        </a:prstGeom>
      </xdr:spPr>
    </xdr:pic>
    <xdr:clientData/>
  </xdr:twoCellAnchor>
  <xdr:twoCellAnchor>
    <xdr:from>
      <xdr:col>21</xdr:col>
      <xdr:colOff>522513</xdr:colOff>
      <xdr:row>4</xdr:row>
      <xdr:rowOff>43543</xdr:rowOff>
    </xdr:from>
    <xdr:to>
      <xdr:col>30</xdr:col>
      <xdr:colOff>522514</xdr:colOff>
      <xdr:row>9</xdr:row>
      <xdr:rowOff>1513115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9169742" y="957943"/>
          <a:ext cx="6074229" cy="2612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VBA-JSON </a:t>
          </a:r>
          <a:r>
            <a:rPr lang="ja-JP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のインポート</a:t>
          </a:r>
        </a:p>
        <a:p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VBA-JSON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の最新版 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(.zip) 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をダウンロードする。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ダウンロードしたファイルを解凍する。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解凍したフォルダを任意の場所に配置する。</a:t>
          </a:r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を起動し、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VBA 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の開発ツールを開く。</a:t>
          </a:r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ファイル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(F)] &gt; [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ファイルのインポート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(I)] 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を選択し、解凍したフォルダ内にある「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JsonConverter.bas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」を選択しインポートします。</a:t>
          </a:r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ツール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(T)] &gt; [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参照設定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(R)] 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から「</a:t>
          </a:r>
          <a:r>
            <a:rPr lang="en-US" altLang="ja-JP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Microsoft Scripting Runtime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」にチェックを入れます。　</a:t>
          </a:r>
          <a:endParaRPr lang="en-US" altLang="ja-JP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チェックすることで、</a:t>
          </a:r>
          <a:r>
            <a:rPr lang="en-US" altLang="ja-JP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Dictionary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型を使用できるようになります。</a:t>
          </a:r>
        </a:p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13</xdr:row>
          <xdr:rowOff>30480</xdr:rowOff>
        </xdr:from>
        <xdr:to>
          <xdr:col>2</xdr:col>
          <xdr:colOff>647700</xdr:colOff>
          <xdr:row>14</xdr:row>
          <xdr:rowOff>198120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GET-device liset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13</xdr:row>
          <xdr:rowOff>53340</xdr:rowOff>
        </xdr:from>
        <xdr:to>
          <xdr:col>6</xdr:col>
          <xdr:colOff>952500</xdr:colOff>
          <xdr:row>14</xdr:row>
          <xdr:rowOff>198120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GET-device detail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592231</xdr:colOff>
      <xdr:row>12</xdr:row>
      <xdr:rowOff>180976</xdr:rowOff>
    </xdr:from>
    <xdr:to>
      <xdr:col>26</xdr:col>
      <xdr:colOff>394447</xdr:colOff>
      <xdr:row>34</xdr:row>
      <xdr:rowOff>35859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13</xdr:row>
          <xdr:rowOff>45720</xdr:rowOff>
        </xdr:from>
        <xdr:to>
          <xdr:col>10</xdr:col>
          <xdr:colOff>967740</xdr:colOff>
          <xdr:row>14</xdr:row>
          <xdr:rowOff>198120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GET-TimeSerie Value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1188720</xdr:colOff>
          <xdr:row>13</xdr:row>
          <xdr:rowOff>45720</xdr:rowOff>
        </xdr:from>
        <xdr:to>
          <xdr:col>11</xdr:col>
          <xdr:colOff>312420</xdr:colOff>
          <xdr:row>14</xdr:row>
          <xdr:rowOff>198120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Cells 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13</xdr:row>
          <xdr:rowOff>30480</xdr:rowOff>
        </xdr:from>
        <xdr:to>
          <xdr:col>2</xdr:col>
          <xdr:colOff>647700</xdr:colOff>
          <xdr:row>14</xdr:row>
          <xdr:rowOff>198120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GET-device liset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13</xdr:row>
          <xdr:rowOff>53340</xdr:rowOff>
        </xdr:from>
        <xdr:to>
          <xdr:col>6</xdr:col>
          <xdr:colOff>952500</xdr:colOff>
          <xdr:row>14</xdr:row>
          <xdr:rowOff>198120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GET-device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13</xdr:row>
          <xdr:rowOff>45720</xdr:rowOff>
        </xdr:from>
        <xdr:to>
          <xdr:col>10</xdr:col>
          <xdr:colOff>967740</xdr:colOff>
          <xdr:row>14</xdr:row>
          <xdr:rowOff>198120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GET-TimeSerie Value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1188720</xdr:colOff>
          <xdr:row>13</xdr:row>
          <xdr:rowOff>45720</xdr:rowOff>
        </xdr:from>
        <xdr:to>
          <xdr:col>11</xdr:col>
          <xdr:colOff>312420</xdr:colOff>
          <xdr:row>14</xdr:row>
          <xdr:rowOff>198120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Cells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13</xdr:row>
          <xdr:rowOff>30480</xdr:rowOff>
        </xdr:from>
        <xdr:to>
          <xdr:col>2</xdr:col>
          <xdr:colOff>647700</xdr:colOff>
          <xdr:row>14</xdr:row>
          <xdr:rowOff>198120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GET-device liset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13</xdr:row>
          <xdr:rowOff>53340</xdr:rowOff>
        </xdr:from>
        <xdr:to>
          <xdr:col>6</xdr:col>
          <xdr:colOff>952500</xdr:colOff>
          <xdr:row>14</xdr:row>
          <xdr:rowOff>198120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GET-device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13</xdr:row>
          <xdr:rowOff>45720</xdr:rowOff>
        </xdr:from>
        <xdr:to>
          <xdr:col>10</xdr:col>
          <xdr:colOff>967740</xdr:colOff>
          <xdr:row>14</xdr:row>
          <xdr:rowOff>198120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GET-TimeSerie Value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1188720</xdr:colOff>
          <xdr:row>13</xdr:row>
          <xdr:rowOff>45720</xdr:rowOff>
        </xdr:from>
        <xdr:to>
          <xdr:col>11</xdr:col>
          <xdr:colOff>312420</xdr:colOff>
          <xdr:row>14</xdr:row>
          <xdr:rowOff>198120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Cells 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80683</xdr:colOff>
      <xdr:row>0</xdr:row>
      <xdr:rowOff>125507</xdr:rowOff>
    </xdr:from>
    <xdr:to>
      <xdr:col>24</xdr:col>
      <xdr:colOff>420536</xdr:colOff>
      <xdr:row>9</xdr:row>
      <xdr:rowOff>116542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16048" y="125507"/>
          <a:ext cx="5046324" cy="21336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30</xdr:col>
      <xdr:colOff>26894</xdr:colOff>
      <xdr:row>11</xdr:row>
      <xdr:rowOff>98247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14188" y="233082"/>
          <a:ext cx="3388659" cy="24738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9</xdr:row>
          <xdr:rowOff>68580</xdr:rowOff>
        </xdr:from>
        <xdr:to>
          <xdr:col>3</xdr:col>
          <xdr:colOff>1432560</xdr:colOff>
          <xdr:row>10</xdr:row>
          <xdr:rowOff>152400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↑token get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382223</xdr:colOff>
      <xdr:row>11</xdr:row>
      <xdr:rowOff>192334</xdr:rowOff>
    </xdr:from>
    <xdr:to>
      <xdr:col>25</xdr:col>
      <xdr:colOff>283400</xdr:colOff>
      <xdr:row>32</xdr:row>
      <xdr:rowOff>130345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376518</xdr:colOff>
      <xdr:row>33</xdr:row>
      <xdr:rowOff>98613</xdr:rowOff>
    </xdr:from>
    <xdr:to>
      <xdr:col>25</xdr:col>
      <xdr:colOff>277695</xdr:colOff>
      <xdr:row>54</xdr:row>
      <xdr:rowOff>36624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taging-amnimo.com/" TargetMode="External"/><Relationship Id="rId1" Type="http://schemas.openxmlformats.org/officeDocument/2006/relationships/hyperlink" Target="mailto:shio.inoue.work40+stag01@gmail.com%20/%20Yokogawa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F7C3-1894-441C-8A1B-792748883FC5}">
  <sheetPr codeName="Sheet1"/>
  <dimension ref="B1:G23"/>
  <sheetViews>
    <sheetView zoomScale="70" zoomScaleNormal="70" workbookViewId="0">
      <selection activeCell="B2" sqref="B2:D4"/>
    </sheetView>
  </sheetViews>
  <sheetFormatPr defaultColWidth="11" defaultRowHeight="31.8" customHeight="1" x14ac:dyDescent="0.45"/>
  <cols>
    <col min="3" max="3" width="16.3984375" customWidth="1"/>
    <col min="4" max="4" width="38.8984375" customWidth="1"/>
    <col min="5" max="5" width="57.3984375" customWidth="1"/>
  </cols>
  <sheetData>
    <row r="1" spans="2:7" ht="31.8" customHeight="1" x14ac:dyDescent="0.45">
      <c r="B1" s="11" t="s">
        <v>86</v>
      </c>
    </row>
    <row r="2" spans="2:7" ht="31.8" customHeight="1" x14ac:dyDescent="0.45">
      <c r="B2" s="6" t="s">
        <v>87</v>
      </c>
      <c r="C2" s="7" t="s">
        <v>9</v>
      </c>
      <c r="D2" s="6"/>
      <c r="G2" t="s">
        <v>5</v>
      </c>
    </row>
    <row r="3" spans="2:7" ht="31.8" customHeight="1" x14ac:dyDescent="0.45">
      <c r="B3" s="6" t="s">
        <v>88</v>
      </c>
      <c r="C3" s="7" t="s">
        <v>7</v>
      </c>
      <c r="D3" s="6"/>
    </row>
    <row r="4" spans="2:7" ht="31.8" customHeight="1" x14ac:dyDescent="0.45">
      <c r="B4" s="6"/>
      <c r="C4" s="6" t="s">
        <v>8</v>
      </c>
      <c r="D4" s="6"/>
    </row>
    <row r="5" spans="2:7" ht="31.8" customHeight="1" x14ac:dyDescent="0.45">
      <c r="B5" t="s">
        <v>0</v>
      </c>
    </row>
    <row r="6" spans="2:7" ht="31.8" customHeight="1" x14ac:dyDescent="0.45">
      <c r="B6" t="s">
        <v>1</v>
      </c>
    </row>
    <row r="10" spans="2:7" ht="31.8" customHeight="1" x14ac:dyDescent="0.45">
      <c r="D10" s="1" t="str">
        <f>_xlfn.WEBSERVICE("http://qiita.com/robots.txt")</f>
        <v xml:space="preserve"># See http://www.robotstxt.org/wc/norobots.html for documentation on how to use the robots.txt file
User-agent: *
Disallow: /*/edit$
Disallow: /api/*
Allow:    /api/*/docs$
Sitemap: https://cdn.qiita.com/sitemap-https/sitemap.xml.gz
</v>
      </c>
    </row>
    <row r="13" spans="2:7" ht="31.8" customHeight="1" x14ac:dyDescent="0.45">
      <c r="C13" t="s">
        <v>2</v>
      </c>
      <c r="D13" t="s">
        <v>17</v>
      </c>
    </row>
    <row r="14" spans="2:7" ht="31.8" customHeight="1" x14ac:dyDescent="0.45">
      <c r="C14" t="s">
        <v>4</v>
      </c>
      <c r="D14" t="s">
        <v>26</v>
      </c>
    </row>
    <row r="15" spans="2:7" ht="31.8" customHeight="1" x14ac:dyDescent="0.45">
      <c r="D15" s="2"/>
    </row>
    <row r="16" spans="2:7" ht="31.8" customHeight="1" x14ac:dyDescent="0.45">
      <c r="B16" t="s">
        <v>32</v>
      </c>
      <c r="C16" t="s">
        <v>6</v>
      </c>
      <c r="D16" s="3" t="s">
        <v>3</v>
      </c>
    </row>
    <row r="17" spans="3:5" ht="31.8" customHeight="1" x14ac:dyDescent="0.45">
      <c r="D17" s="2"/>
    </row>
    <row r="18" spans="3:5" ht="216" x14ac:dyDescent="0.45">
      <c r="C18" t="s">
        <v>18</v>
      </c>
      <c r="D18" s="2" t="s">
        <v>19</v>
      </c>
      <c r="E18" s="1" t="s">
        <v>27</v>
      </c>
    </row>
    <row r="19" spans="3:5" ht="216" x14ac:dyDescent="0.45">
      <c r="D19" s="2" t="s">
        <v>20</v>
      </c>
      <c r="E19" s="1" t="s">
        <v>28</v>
      </c>
    </row>
    <row r="20" spans="3:5" ht="216" x14ac:dyDescent="0.45">
      <c r="D20" s="2" t="s">
        <v>21</v>
      </c>
      <c r="E20" s="1" t="s">
        <v>29</v>
      </c>
    </row>
    <row r="21" spans="3:5" ht="216" x14ac:dyDescent="0.45">
      <c r="D21" s="2" t="s">
        <v>22</v>
      </c>
      <c r="E21" s="1" t="s">
        <v>30</v>
      </c>
    </row>
    <row r="22" spans="3:5" ht="216" x14ac:dyDescent="0.45">
      <c r="D22" s="2" t="s">
        <v>23</v>
      </c>
      <c r="E22" s="1" t="s">
        <v>31</v>
      </c>
    </row>
    <row r="23" spans="3:5" ht="31.8" customHeight="1" x14ac:dyDescent="0.45">
      <c r="D23" s="2" t="s">
        <v>24</v>
      </c>
    </row>
  </sheetData>
  <phoneticPr fontId="1"/>
  <hyperlinks>
    <hyperlink ref="C3" r:id="rId1" xr:uid="{8A019CCE-01DB-4242-94BA-ABD90202E1B5}"/>
    <hyperlink ref="C2" r:id="rId2" xr:uid="{7B6D8B9F-23CC-4DD9-9C99-186EB695BA2F}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297AC-D028-4F66-892B-1DAD03A43877}">
  <sheetPr codeName="Sheet2">
    <tabColor theme="9" tint="0.39997558519241921"/>
  </sheetPr>
  <dimension ref="B2:AA31"/>
  <sheetViews>
    <sheetView tabSelected="1" zoomScale="55" zoomScaleNormal="55" workbookViewId="0">
      <selection activeCell="G28" sqref="G28"/>
    </sheetView>
  </sheetViews>
  <sheetFormatPr defaultRowHeight="18" x14ac:dyDescent="0.45"/>
  <cols>
    <col min="2" max="2" width="16.69921875" customWidth="1"/>
    <col min="3" max="3" width="15.09765625" customWidth="1"/>
    <col min="4" max="4" width="25.3984375" customWidth="1"/>
    <col min="5" max="5" width="5.59765625" customWidth="1"/>
    <col min="6" max="6" width="16.59765625" customWidth="1"/>
    <col min="7" max="7" width="22.8984375" customWidth="1"/>
    <col min="8" max="8" width="28.3984375" customWidth="1"/>
    <col min="9" max="9" width="6" customWidth="1"/>
    <col min="10" max="10" width="16.19921875" customWidth="1"/>
    <col min="11" max="11" width="31.19921875" customWidth="1"/>
    <col min="12" max="12" width="19.796875" customWidth="1"/>
    <col min="13" max="13" width="6.796875" customWidth="1"/>
    <col min="14" max="14" width="18.19921875" style="5" customWidth="1"/>
    <col min="15" max="15" width="12" customWidth="1"/>
  </cols>
  <sheetData>
    <row r="2" spans="2:27" ht="22.2" x14ac:dyDescent="0.45">
      <c r="B2" s="11" t="s">
        <v>85</v>
      </c>
    </row>
    <row r="3" spans="2:27" x14ac:dyDescent="0.45">
      <c r="B3" t="s">
        <v>10</v>
      </c>
    </row>
    <row r="4" spans="2:27" x14ac:dyDescent="0.45">
      <c r="B4" t="s">
        <v>34</v>
      </c>
    </row>
    <row r="5" spans="2:27" x14ac:dyDescent="0.45">
      <c r="B5" s="6" t="s">
        <v>11</v>
      </c>
      <c r="C5" t="s">
        <v>12</v>
      </c>
    </row>
    <row r="6" spans="2:27" x14ac:dyDescent="0.45">
      <c r="B6" s="6" t="s">
        <v>2</v>
      </c>
      <c r="C6" s="10" t="str">
        <f>step2_0!C6</f>
        <v>Bearer eyJ0eXAiOiJKV1QiLCJhbGciOiJSUzI1NiIsIng1dCI6Im5PbzNaRHJPRFhFSzFqS1doWHNsSFJfS1hFZyIsImtpZCI6Im5PbzNaRHJPRFhFSzFqS1doWHNsSFJfS1hFZyJ9.eyJhdWQiOiJodHRwczovL3lrZ3djbGRzZXJ2c3RhZy5vbm1pY3Jvc29mdC5jb20veWtndy1zdGFnMi1hcGktbWFuYWdlbWVudCIsImlzcyI6Imh0dHBzOi8vc3RzLndpbmRvd3MubmV0LzBiNDFhNDczLWNlMDctNDdhMi04OWRhLWUxMDQyOGQzYTY1OS8iLCJpYXQiOjE2MjAyNjgwNjAsIm5iZiI6MTYyMDI2ODA2MCwiZXhwIjoxNjIwMzU0NzYwLCJhaW8iOiJFMlpnWUFpUVNmb1hWUmJ1dWxkSU41TjN0NG96QUE9PSIsImFwcGlkIjoiZDU3MTQ2YmUtOWE0NS00OTk3LTkwMTAtNTY5MDczYjk5NjBmIiwiYXBwaWRhY3IiOiIxIiwiaWRwIjoiaHR0cHM6Ly9zdHMud2luZG93cy5uZXQvMGI0MWE0NzMtY2UwNy00N2EyLTg5ZGEtZTEwNDI4ZDNhNjU5LyIsIm9pZCI6Ijk1NjY5N2MzLWNmOTItNGZhNy04NDVkLTliZTM4Njg0OTU0MCIsInJoIjoiMC5BVk1BYzZSQkN3Zk9va2VKMnVFRUtOT21XYjVHY2RWRm1wZEprQkJXa0hPNWxnOVRBQUEuIiwic3ViIjoiOTU2Njk3YzMtY2Y5Mi00ZmE3LTg0NWQtOWJlMzg2ODQ5NTQwIiwidGlkIjoiMGI0MWE0NzMtY2UwNy00N2EyLTg5ZGEtZTEwNDI4ZDNhNjU5IiwidXRpIjoieGxhV2dlZlpWVTZsN21BXzZCNHBBQSIsInZlciI6IjEuMCJ9.JjkhY-ImzSo3isKdLnOVUva86qO-il8E22Ssfz5Ai70pPSG1GlLfulhXdUUxUZvvxXjRDH7f7roTjIVgR2YiVPqMAvGiiNoPiItbXWgfshXKEnfDamKIYUfiRuCcMnKLgOvxLuIEaUVKDluz04zXu_iWHfkrytaueawWZPQQSwt83gcLNzP2M7CLspYwNwfG1ej0tyaWoucqXXfu-ZL5bJFLXrZsqF-icI7UxeC8PRVNNps2wTanmTMxI25Hic8tsYekISF1Xf5ROw_iZ7wnro1Ph4qofUXr9LXjOTDDW3y5xBX3386E_342rqsb7IOgAxXOh1fuyrACi8ChZisW4Q</v>
      </c>
    </row>
    <row r="7" spans="2:27" x14ac:dyDescent="0.45">
      <c r="F7" t="s">
        <v>35</v>
      </c>
      <c r="J7" t="s">
        <v>38</v>
      </c>
    </row>
    <row r="8" spans="2:27" x14ac:dyDescent="0.45">
      <c r="F8" s="9" t="s">
        <v>13</v>
      </c>
      <c r="G8" s="9" t="str">
        <f>D24</f>
        <v>M:AMNM;C:00;S:AT9L180052</v>
      </c>
      <c r="J8" s="9" t="s">
        <v>39</v>
      </c>
      <c r="K8" s="9" t="s">
        <v>47</v>
      </c>
    </row>
    <row r="9" spans="2:27" x14ac:dyDescent="0.45">
      <c r="J9" t="s">
        <v>43</v>
      </c>
    </row>
    <row r="10" spans="2:27" x14ac:dyDescent="0.45">
      <c r="J10" s="9" t="s">
        <v>44</v>
      </c>
      <c r="K10" s="9" t="str">
        <f ca="1">step2_0!$K$10</f>
        <v>2021-05-05T18:00:00.000Z</v>
      </c>
      <c r="L10" t="s">
        <v>49</v>
      </c>
    </row>
    <row r="11" spans="2:27" x14ac:dyDescent="0.45">
      <c r="J11" s="9" t="s">
        <v>46</v>
      </c>
      <c r="K11" s="9" t="str">
        <f ca="1">step2_0!$K$11</f>
        <v>2021-05-06T11:00:00.000Z</v>
      </c>
      <c r="L11" t="s">
        <v>49</v>
      </c>
    </row>
    <row r="12" spans="2:27" x14ac:dyDescent="0.45">
      <c r="B12" t="s">
        <v>15</v>
      </c>
      <c r="E12" t="s">
        <v>37</v>
      </c>
      <c r="I12" t="s">
        <v>37</v>
      </c>
      <c r="J12" s="9" t="s">
        <v>45</v>
      </c>
      <c r="K12" s="9">
        <v>500</v>
      </c>
      <c r="L12" t="s">
        <v>51</v>
      </c>
      <c r="M12" t="s">
        <v>37</v>
      </c>
      <c r="N12" s="5" t="s">
        <v>50</v>
      </c>
      <c r="O12">
        <f>COUNT(O19:O1048576)</f>
        <v>0</v>
      </c>
      <c r="AA12" t="s">
        <v>58</v>
      </c>
    </row>
    <row r="13" spans="2:27" x14ac:dyDescent="0.45">
      <c r="B13" s="4" t="s">
        <v>14</v>
      </c>
      <c r="E13" t="s">
        <v>37</v>
      </c>
      <c r="F13" s="4" t="s">
        <v>40</v>
      </c>
      <c r="I13" t="s">
        <v>37</v>
      </c>
      <c r="J13" t="s">
        <v>36</v>
      </c>
      <c r="M13" t="s">
        <v>37</v>
      </c>
    </row>
    <row r="14" spans="2:27" x14ac:dyDescent="0.45">
      <c r="E14" t="s">
        <v>37</v>
      </c>
      <c r="I14" t="s">
        <v>37</v>
      </c>
      <c r="M14" t="s">
        <v>37</v>
      </c>
    </row>
    <row r="15" spans="2:27" x14ac:dyDescent="0.45">
      <c r="E15" t="s">
        <v>37</v>
      </c>
      <c r="I15" t="s">
        <v>37</v>
      </c>
      <c r="M15" t="s">
        <v>37</v>
      </c>
    </row>
    <row r="16" spans="2:27" x14ac:dyDescent="0.45">
      <c r="B16" t="s">
        <v>16</v>
      </c>
      <c r="C16" t="s">
        <v>89</v>
      </c>
      <c r="E16" t="s">
        <v>37</v>
      </c>
      <c r="F16" t="s">
        <v>16</v>
      </c>
      <c r="G16" t="s">
        <v>93</v>
      </c>
      <c r="I16" t="s">
        <v>37</v>
      </c>
      <c r="J16" t="s">
        <v>16</v>
      </c>
      <c r="K16" t="s">
        <v>108</v>
      </c>
      <c r="M16" t="s">
        <v>37</v>
      </c>
    </row>
    <row r="17" spans="2:15" x14ac:dyDescent="0.45">
      <c r="B17" t="s">
        <v>25</v>
      </c>
      <c r="C17" t="str">
        <f>C16</f>
        <v>[{"did":"M:TEMP;C:99;S:EGWTESTTEST002","name":"ModbusTESTv100-test01","status":1,"class":"sensor","typeId":{"version":2,"id":"49ca3cc0-0459-4547-b62d-3fe6f31e2fe6","pid":"d4a78fb5-48be-4165-a255-2742185c376f"},"registeredPid":"d4a78fb5-48be-4165-a255-2742185c376f"},{"did":"M:TEMP;C:99;S:MGWTESTMODBUS001SHIO001","name":"ModbusTCP-TEST01","status":1,"class":"sensor","typeId":{"version":4,"id":"1fae8805-2d1a-482d-af68-c297df0dd59c","pid":"d4a78fb5-48be-4165-a255-2742185c376f"},"registeredPid":"d4a78fb5-48be-4165-a255-2742185c376f"},{"did":"M:MTCH;C:01;S:SHIOMGWTEST011","name":"SHIO  MGW   TEST  011","status":3,"class":"gateway","typeId":{"version":0,"id":"005bec93-eedb-44bb-b369-38ccae7328bc","pid":"4be4709a-2eb0-492f-81b4-98f0314e5d1d"},"registeredPid":"c7b83640-b61c-4016-a20c-36c3408afd41"},{"did":"M:AMNM;C:00;S:AT9L180057","name":"AT9L180057","status":3,"class":"sensor","typeId":{"version":1,"id":"ec47ccb1-7865-4f88-a52f-14e76485a0de","pid":"83112148-9fdd-4263-92cf-5e7200ee70c7"},"registeredPid":"c7b83640-b61c-4016-a20c-36c3408afd41"},{"did":"M:AMNM;C:00;S:AT9L180052","name":"AT9l180052_12","status":3,"class":"sensor","typeId":{"version":1,"id":"ec47ccb1-7865-4f88-a52f-14e76485a0de","pid":"83112148-9fdd-4263-92cf-5e7200ee70c7"},"registeredPid":"c7b83640-b61c-4016-a20c-36c3408afd41"}]</v>
      </c>
      <c r="E17" t="s">
        <v>37</v>
      </c>
      <c r="F17" t="s">
        <v>25</v>
      </c>
      <c r="G17" t="str">
        <f>G16</f>
        <v>{"activatedTs":"2021-03-18T07:27:02.5707934Z","attrs":{"appKey":"FD395D43549D7F7D0627F2594AD7B3A6","appEUI":"59-4B-47-57-30-32-30-31","devEUI":"00-00-64-FF-FE-A3-F2-E7","loraType":"A","appPort":"2","ackAttempts":"true","ackRetries":"0","rxWindow":"2"},"class":"sensor","configInfo":{"desiredVer":2,"reportedVer":0},"config":[{"key":"adaptDataRate","name":"Adaptive Data Rate","progress":2,"read":{"ts":"2021-03-31T05:22:03.307577Z","value":"0"},"unit":null,"write":{"ts":null,"value":"0"}},{"key":"loraClass","name":"LoRa Class","progress":2,"read":{"ts":"2021-03-31T05:22:03.307577Z","value":"0"},"unit":null,"write":{"ts":null,"value":"0"}},{"key":"retryTimes","name":"Retry Times","progress":2,"read":{"ts":"2021-03-31T05:22:03.307577Z","value":"8"},"unit":null,"write":{"ts":null,"value":"8"}},{"key":"transInterval","name":"Transmission Interval","progress":2,"read":{"ts":"2021-03-31T05:22:03.307577Z","value":"720"},"unit":"s","write":{"ts":"2021-03-31T05:16:27.6909397Z","value":"720"}},{"key":"inputInterval","name":"Input Interval","progress":2,"read":{"ts":"2021-03-31T05:22:13.198438Z","value":"0"},"unit":"ms","write":{"ts":null,"value":"0"}},{"key":"highAlrmDetection","name":"High Alarm Detection","progress":2,"read":{"ts":"2021-03-31T05:22:23.214026Z","value":"1"},"unit":null,"write":{"ts":"2021-02-07T15:57:54.1213999Z","value":"1"}},{"key":"highAlrmOnDelay","name":"High Alarm On Delay","progress":2,"read":{"ts":"2021-03-31T05:22:23.214026Z","value":"1"},"unit":null,"write":{"ts":null,"value":"1"}},{"key":"highAlrmThreshold","name":"High Alarm Threshold","progress":2,"read":{"ts":"2021-03-31T05:22:23.214026Z","value":"0"},"unit":"V","write":{"ts":null,"value":"0"}},{"key":"lowAlrmDetection","name":"Low Alarm Detection","progress":2,"read":{"ts":"2021-03-31T05:22:33.278922Z","value":"1"},"unit":null,"write":{"ts":null,"value":"0"}},{"key":"lowAlrmOnDelay","name":"Low Alarm On Delay","progress":2,"read":{"ts":"2021-03-31T05:22:33.278922Z","value":"1"},"unit":null,"write":{"ts":null,"value":"1"}},{"key":"lowAlrmThreshold","name":"Low Alarm Threshold","progress":2,"read":{"ts":"2021-03-31T05:22:33.278922Z","value":"50"},"unit":"V","write":{"ts":null,"value":"0"}}],"did":"M:AMNM;C:00;S:AT9L180052","extAttr":{},"name":"AT9l180052_12","parentGatewayId":"M:MTCH;C:01;S:SHIOMGWTEST011","pid":"28b8fb8a-3b82-4d13-a49c-e8b582e140ab","props":[{"conversions":[],"meta":{},"dataType":"Double","key":"0X51AnalogInput","name":"Analog Input","seriesId":"32e5238d-7428-42ba-9f2a-5084f09480a0","sysGen":null,"uom":"voltage"},{"conversions":[],"meta":{},"dataType":"String","key":"currentLocation","name":"Current Location","seriesId":"52bdf80d-20f0-4a05-8e8e-a79a29f1407f","sysGen":null,"uom":"point"},{"conversions":[],"meta":{},"dataType":"Double","key":"lsnr","name":"Lora SNR ratio","seriesId":"af0a60f2-156f-4291-ad8d-8ea4743fdc92","sysGen":null,"uom":"decibel"},{"conversions":[],"meta":{},"dataType":"Int32","key":"rssi","name":"Received Signal Strength Indication","seriesId":"f434bc54-6e15-45cc-b831-f463382676bb","sysGen":null,"uom":"decibelMilliwatt"},{"conversions":[],"meta":{},"dataType":"Int32","key":"seqn","name":"Packet sequence number","seriesId":"3a6104b2-a1de-43c5-8747-1bb24ea6fb8f","sysGen":null,"uom":""},{"conversions":[],"meta":{},"dataType":"Double","key":"freq","name":"RX central frequency","seriesId":"d34c127c-f755-4caf-bd25-16987566ca1f","sysGen":null,"uom":"megaHertz"}],"registeredPid":"c7b83640-b61c-4016-a20c-36c3408afd41","serialNumber":null,"status":3,"typeId":{"version":1,"id":"ec47ccb1-7865-4f88-a52f-14e76485a0de","pid":"83112148-9fdd-4263-92cf-5e7200ee70c7"}}</v>
      </c>
      <c r="I17" t="s">
        <v>37</v>
      </c>
      <c r="J17" t="s">
        <v>25</v>
      </c>
      <c r="K17" t="str">
        <f>K16</f>
        <v>[]</v>
      </c>
      <c r="M17" t="s">
        <v>37</v>
      </c>
    </row>
    <row r="18" spans="2:15" x14ac:dyDescent="0.45">
      <c r="E18" t="s">
        <v>37</v>
      </c>
      <c r="I18" t="s">
        <v>37</v>
      </c>
      <c r="M18" t="s">
        <v>37</v>
      </c>
    </row>
    <row r="19" spans="2:15" x14ac:dyDescent="0.45">
      <c r="B19" t="s">
        <v>90</v>
      </c>
      <c r="D19" t="s">
        <v>67</v>
      </c>
      <c r="E19" t="s">
        <v>37</v>
      </c>
      <c r="F19" t="s">
        <v>67</v>
      </c>
      <c r="G19" t="s">
        <v>94</v>
      </c>
      <c r="H19" t="s">
        <v>68</v>
      </c>
      <c r="I19" t="s">
        <v>37</v>
      </c>
      <c r="J19" t="s">
        <v>33</v>
      </c>
      <c r="K19" t="s">
        <v>41</v>
      </c>
      <c r="L19" t="s">
        <v>42</v>
      </c>
      <c r="M19" t="s">
        <v>37</v>
      </c>
      <c r="N19" s="5" t="s">
        <v>48</v>
      </c>
      <c r="O19" t="s">
        <v>42</v>
      </c>
    </row>
    <row r="20" spans="2:15" x14ac:dyDescent="0.45">
      <c r="C20" t="s">
        <v>19</v>
      </c>
      <c r="D20" t="s">
        <v>69</v>
      </c>
      <c r="E20" t="s">
        <v>37</v>
      </c>
      <c r="G20" t="s">
        <v>75</v>
      </c>
      <c r="H20" t="s">
        <v>95</v>
      </c>
      <c r="I20" t="s">
        <v>37</v>
      </c>
      <c r="M20" t="s">
        <v>37</v>
      </c>
    </row>
    <row r="21" spans="2:15" x14ac:dyDescent="0.45">
      <c r="C21" t="s">
        <v>22</v>
      </c>
      <c r="D21" t="s">
        <v>71</v>
      </c>
      <c r="E21" t="s">
        <v>37</v>
      </c>
      <c r="G21" t="s">
        <v>76</v>
      </c>
      <c r="H21" t="s">
        <v>96</v>
      </c>
      <c r="I21" t="s">
        <v>37</v>
      </c>
      <c r="M21" t="s">
        <v>37</v>
      </c>
    </row>
    <row r="22" spans="2:15" x14ac:dyDescent="0.45">
      <c r="C22" t="s">
        <v>20</v>
      </c>
      <c r="D22" t="s">
        <v>70</v>
      </c>
      <c r="E22" t="s">
        <v>37</v>
      </c>
      <c r="G22" t="s">
        <v>77</v>
      </c>
      <c r="H22" t="s">
        <v>97</v>
      </c>
      <c r="I22" t="s">
        <v>37</v>
      </c>
      <c r="M22" t="s">
        <v>37</v>
      </c>
    </row>
    <row r="23" spans="2:15" x14ac:dyDescent="0.45">
      <c r="C23" t="s">
        <v>21</v>
      </c>
      <c r="D23" t="s">
        <v>73</v>
      </c>
      <c r="E23" t="s">
        <v>37</v>
      </c>
      <c r="G23" t="s">
        <v>78</v>
      </c>
      <c r="H23" t="s">
        <v>98</v>
      </c>
      <c r="I23" t="s">
        <v>37</v>
      </c>
      <c r="M23" t="s">
        <v>37</v>
      </c>
    </row>
    <row r="24" spans="2:15" x14ac:dyDescent="0.45">
      <c r="C24" t="s">
        <v>23</v>
      </c>
      <c r="D24" t="s">
        <v>72</v>
      </c>
      <c r="E24" t="s">
        <v>37</v>
      </c>
      <c r="G24" t="s">
        <v>79</v>
      </c>
      <c r="H24" t="s">
        <v>99</v>
      </c>
      <c r="I24" t="s">
        <v>37</v>
      </c>
      <c r="M24" t="s">
        <v>37</v>
      </c>
    </row>
    <row r="25" spans="2:15" x14ac:dyDescent="0.45">
      <c r="C25" t="s">
        <v>24</v>
      </c>
      <c r="E25" t="s">
        <v>37</v>
      </c>
      <c r="G25" t="s">
        <v>80</v>
      </c>
      <c r="H25" t="s">
        <v>100</v>
      </c>
      <c r="I25" t="s">
        <v>37</v>
      </c>
      <c r="M25" t="s">
        <v>37</v>
      </c>
    </row>
    <row r="26" spans="2:15" x14ac:dyDescent="0.45">
      <c r="E26" t="s">
        <v>37</v>
      </c>
      <c r="I26" t="s">
        <v>37</v>
      </c>
      <c r="M26" t="s">
        <v>37</v>
      </c>
    </row>
    <row r="27" spans="2:15" x14ac:dyDescent="0.45">
      <c r="E27" t="s">
        <v>37</v>
      </c>
      <c r="I27" t="s">
        <v>37</v>
      </c>
      <c r="M27" t="s">
        <v>37</v>
      </c>
    </row>
    <row r="28" spans="2:15" x14ac:dyDescent="0.45">
      <c r="E28" t="s">
        <v>37</v>
      </c>
      <c r="I28" t="s">
        <v>37</v>
      </c>
    </row>
    <row r="29" spans="2:15" x14ac:dyDescent="0.45">
      <c r="E29" t="s">
        <v>37</v>
      </c>
      <c r="I29" t="s">
        <v>37</v>
      </c>
    </row>
    <row r="30" spans="2:15" x14ac:dyDescent="0.45">
      <c r="E30" t="s">
        <v>37</v>
      </c>
      <c r="I30" t="s">
        <v>37</v>
      </c>
    </row>
    <row r="31" spans="2:15" x14ac:dyDescent="0.45">
      <c r="E31" t="s">
        <v>37</v>
      </c>
      <c r="I31" t="s">
        <v>37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device_list">
                <anchor moveWithCells="1" sizeWithCells="1">
                  <from>
                    <xdr:col>1</xdr:col>
                    <xdr:colOff>457200</xdr:colOff>
                    <xdr:row>13</xdr:row>
                    <xdr:rowOff>30480</xdr:rowOff>
                  </from>
                  <to>
                    <xdr:col>2</xdr:col>
                    <xdr:colOff>647700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_device_details">
                <anchor moveWithCells="1" sizeWithCells="1">
                  <from>
                    <xdr:col>5</xdr:col>
                    <xdr:colOff>754380</xdr:colOff>
                    <xdr:row>13</xdr:row>
                    <xdr:rowOff>53340</xdr:rowOff>
                  </from>
                  <to>
                    <xdr:col>6</xdr:col>
                    <xdr:colOff>952500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_timeseries_value">
                <anchor moveWithCells="1" sizeWithCells="1">
                  <from>
                    <xdr:col>9</xdr:col>
                    <xdr:colOff>205740</xdr:colOff>
                    <xdr:row>13</xdr:row>
                    <xdr:rowOff>45720</xdr:rowOff>
                  </from>
                  <to>
                    <xdr:col>10</xdr:col>
                    <xdr:colOff>967740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ells_Clear">
                <anchor moveWithCells="1" sizeWithCells="1">
                  <from>
                    <xdr:col>10</xdr:col>
                    <xdr:colOff>1188720</xdr:colOff>
                    <xdr:row>13</xdr:row>
                    <xdr:rowOff>45720</xdr:rowOff>
                  </from>
                  <to>
                    <xdr:col>11</xdr:col>
                    <xdr:colOff>312420</xdr:colOff>
                    <xdr:row>14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589A-1B87-4846-9C56-E3980C751A08}">
  <sheetPr codeName="Sheet3">
    <tabColor theme="8" tint="-0.249977111117893"/>
  </sheetPr>
  <dimension ref="B2:AG25"/>
  <sheetViews>
    <sheetView topLeftCell="I1" zoomScale="55" zoomScaleNormal="55" workbookViewId="0">
      <selection activeCell="G33" sqref="G33"/>
    </sheetView>
  </sheetViews>
  <sheetFormatPr defaultRowHeight="18" x14ac:dyDescent="0.45"/>
  <cols>
    <col min="2" max="2" width="16.69921875" customWidth="1"/>
    <col min="3" max="3" width="15.09765625" customWidth="1"/>
    <col min="4" max="4" width="25.3984375" customWidth="1"/>
    <col min="5" max="5" width="5.59765625" customWidth="1"/>
    <col min="6" max="6" width="16.59765625" customWidth="1"/>
    <col min="7" max="7" width="22.8984375" customWidth="1"/>
    <col min="8" max="8" width="28.3984375" customWidth="1"/>
    <col min="9" max="9" width="6" customWidth="1"/>
    <col min="10" max="10" width="16.19921875" customWidth="1"/>
    <col min="11" max="11" width="31.19921875" customWidth="1"/>
    <col min="12" max="12" width="19.796875" customWidth="1"/>
    <col min="13" max="13" width="6.796875" customWidth="1"/>
    <col min="14" max="14" width="18.19921875" style="12" customWidth="1"/>
    <col min="15" max="15" width="12" customWidth="1"/>
    <col min="112" max="112" width="11.796875" customWidth="1"/>
  </cols>
  <sheetData>
    <row r="2" spans="2:33" ht="22.2" x14ac:dyDescent="0.45">
      <c r="B2" s="11" t="s">
        <v>84</v>
      </c>
      <c r="C2" s="8"/>
    </row>
    <row r="3" spans="2:33" x14ac:dyDescent="0.45">
      <c r="B3" t="s">
        <v>10</v>
      </c>
      <c r="AG3" t="s">
        <v>66</v>
      </c>
    </row>
    <row r="4" spans="2:33" x14ac:dyDescent="0.45">
      <c r="B4" t="s">
        <v>34</v>
      </c>
    </row>
    <row r="5" spans="2:33" x14ac:dyDescent="0.45">
      <c r="B5" s="6" t="s">
        <v>11</v>
      </c>
      <c r="C5" s="6" t="s">
        <v>12</v>
      </c>
    </row>
    <row r="6" spans="2:33" x14ac:dyDescent="0.45">
      <c r="B6" s="9" t="s">
        <v>2</v>
      </c>
      <c r="C6" s="10" t="str">
        <f>D9</f>
        <v>Bearer eyJ0eXAiOiJKV1QiLCJhbGciOiJSUzI1NiIsIng1dCI6Im5PbzNaRHJPRFhFSzFqS1doWHNsSFJfS1hFZyIsImtpZCI6Im5PbzNaRHJPRFhFSzFqS1doWHNsSFJfS1hFZyJ9.eyJhdWQiOiJodHRwczovL3lrZ3djbGRzZXJ2c3RhZy5vbm1pY3Jvc29mdC5jb20veWtndy1zdGFnMi1hcGktbWFuYWdlbWVudCIsImlzcyI6Imh0dHBzOi8vc3RzLndpbmRvd3MubmV0LzBiNDFhNDczLWNlMDctNDdhMi04OWRhLWUxMDQyOGQzYTY1OS8iLCJpYXQiOjE2MjAyNjgwNjAsIm5iZiI6MTYyMDI2ODA2MCwiZXhwIjoxNjIwMzU0NzYwLCJhaW8iOiJFMlpnWUFpUVNmb1hWUmJ1dWxkSU41TjN0NG96QUE9PSIsImFwcGlkIjoiZDU3MTQ2YmUtOWE0NS00OTk3LTkwMTAtNTY5MDczYjk5NjBmIiwiYXBwaWRhY3IiOiIxIiwiaWRwIjoiaHR0cHM6Ly9zdHMud2luZG93cy5uZXQvMGI0MWE0NzMtY2UwNy00N2EyLTg5ZGEtZTEwNDI4ZDNhNjU5LyIsIm9pZCI6Ijk1NjY5N2MzLWNmOTItNGZhNy04NDVkLTliZTM4Njg0OTU0MCIsInJoIjoiMC5BVk1BYzZSQkN3Zk9va2VKMnVFRUtOT21XYjVHY2RWRm1wZEprQkJXa0hPNWxnOVRBQUEuIiwic3ViIjoiOTU2Njk3YzMtY2Y5Mi00ZmE3LTg0NWQtOWJlMzg2ODQ5NTQwIiwidGlkIjoiMGI0MWE0NzMtY2UwNy00N2EyLTg5ZGEtZTEwNDI4ZDNhNjU5IiwidXRpIjoieGxhV2dlZlpWVTZsN21BXzZCNHBBQSIsInZlciI6IjEuMCJ9.JjkhY-ImzSo3isKdLnOVUva86qO-il8E22Ssfz5Ai70pPSG1GlLfulhXdUUxUZvvxXjRDH7f7roTjIVgR2YiVPqMAvGiiNoPiItbXWgfshXKEnfDamKIYUfiRuCcMnKLgOvxLuIEaUVKDluz04zXu_iWHfkrytaueawWZPQQSwt83gcLNzP2M7CLspYwNwfG1ej0tyaWoucqXXfu-ZL5bJFLXrZsqF-icI7UxeC8PRVNNps2wTanmTMxI25Hic8tsYekISF1Xf5ROw_iZ7wnro1Ph4qofUXr9LXjOTDDW3y5xBX3386E_342rqsb7IOgAxXOh1fuyrACi8ChZisW4Q</v>
      </c>
    </row>
    <row r="7" spans="2:33" x14ac:dyDescent="0.45">
      <c r="B7" s="6" t="s">
        <v>59</v>
      </c>
      <c r="C7" s="13" t="s">
        <v>62</v>
      </c>
      <c r="D7" s="6" t="s">
        <v>63</v>
      </c>
      <c r="E7" t="s">
        <v>37</v>
      </c>
      <c r="F7" t="s">
        <v>35</v>
      </c>
      <c r="J7" t="s">
        <v>38</v>
      </c>
    </row>
    <row r="8" spans="2:33" x14ac:dyDescent="0.45">
      <c r="B8" s="6" t="s">
        <v>60</v>
      </c>
      <c r="C8" s="13" t="s">
        <v>64</v>
      </c>
      <c r="D8" s="6" t="s">
        <v>65</v>
      </c>
      <c r="E8" t="s">
        <v>37</v>
      </c>
      <c r="F8" s="9" t="s">
        <v>13</v>
      </c>
      <c r="G8" s="9" t="s">
        <v>74</v>
      </c>
      <c r="J8" s="6" t="s">
        <v>39</v>
      </c>
      <c r="K8" s="6" t="s">
        <v>82</v>
      </c>
      <c r="L8" s="15" t="str">
        <f ca="1">TEXT(TODAY()-1,"yyyy-mm-dd")</f>
        <v>2021-05-05</v>
      </c>
    </row>
    <row r="9" spans="2:33" x14ac:dyDescent="0.45">
      <c r="B9" s="14" t="s">
        <v>61</v>
      </c>
      <c r="C9" s="13" t="s">
        <v>81</v>
      </c>
      <c r="D9" s="14" t="s">
        <v>109</v>
      </c>
      <c r="E9" t="s">
        <v>37</v>
      </c>
      <c r="J9" t="s">
        <v>43</v>
      </c>
      <c r="K9" t="s">
        <v>107</v>
      </c>
      <c r="L9" s="15" t="str">
        <f ca="1">TEXT(TODAY(),"yyyy-mm-dd")</f>
        <v>2021-05-06</v>
      </c>
    </row>
    <row r="10" spans="2:33" x14ac:dyDescent="0.45">
      <c r="E10" t="s">
        <v>37</v>
      </c>
      <c r="J10" s="9" t="s">
        <v>44</v>
      </c>
      <c r="K10" s="9" t="str">
        <f ca="1">L8&amp;"T18:00:00.000Z"</f>
        <v>2021-05-05T18:00:00.000Z</v>
      </c>
      <c r="L10" t="s">
        <v>49</v>
      </c>
    </row>
    <row r="11" spans="2:33" x14ac:dyDescent="0.45">
      <c r="E11" t="s">
        <v>37</v>
      </c>
      <c r="J11" s="9" t="s">
        <v>46</v>
      </c>
      <c r="K11" s="9" t="str">
        <f ca="1">L9&amp;"T11:00:00.000Z"</f>
        <v>2021-05-06T11:00:00.000Z</v>
      </c>
      <c r="L11" t="s">
        <v>49</v>
      </c>
    </row>
    <row r="12" spans="2:33" x14ac:dyDescent="0.45">
      <c r="B12" t="s">
        <v>15</v>
      </c>
      <c r="D12" t="s">
        <v>91</v>
      </c>
      <c r="E12" t="s">
        <v>37</v>
      </c>
      <c r="I12" t="s">
        <v>37</v>
      </c>
      <c r="J12" s="9" t="s">
        <v>45</v>
      </c>
      <c r="K12" s="9">
        <v>200</v>
      </c>
      <c r="L12" t="s">
        <v>51</v>
      </c>
      <c r="M12" t="s">
        <v>37</v>
      </c>
      <c r="N12" s="12" t="s">
        <v>50</v>
      </c>
      <c r="O12">
        <f>COUNT(O19:O1048576)</f>
        <v>0</v>
      </c>
      <c r="AA12" t="s">
        <v>83</v>
      </c>
    </row>
    <row r="13" spans="2:33" x14ac:dyDescent="0.45">
      <c r="B13" s="4" t="s">
        <v>14</v>
      </c>
      <c r="E13" t="s">
        <v>37</v>
      </c>
      <c r="F13" s="4" t="s">
        <v>40</v>
      </c>
      <c r="I13" t="s">
        <v>37</v>
      </c>
      <c r="J13" t="s">
        <v>36</v>
      </c>
      <c r="M13" t="s">
        <v>37</v>
      </c>
    </row>
    <row r="14" spans="2:33" x14ac:dyDescent="0.45">
      <c r="E14" t="s">
        <v>37</v>
      </c>
      <c r="I14" t="s">
        <v>37</v>
      </c>
      <c r="M14" t="s">
        <v>37</v>
      </c>
    </row>
    <row r="15" spans="2:33" x14ac:dyDescent="0.45">
      <c r="E15" t="s">
        <v>37</v>
      </c>
      <c r="I15" t="s">
        <v>37</v>
      </c>
      <c r="M15" t="s">
        <v>37</v>
      </c>
    </row>
    <row r="16" spans="2:33" x14ac:dyDescent="0.45">
      <c r="B16" t="s">
        <v>16</v>
      </c>
      <c r="C16" s="14" t="s">
        <v>110</v>
      </c>
      <c r="E16" t="s">
        <v>37</v>
      </c>
      <c r="F16" t="s">
        <v>16</v>
      </c>
      <c r="G16" s="14" t="s">
        <v>111</v>
      </c>
      <c r="I16" t="s">
        <v>37</v>
      </c>
      <c r="J16" t="s">
        <v>16</v>
      </c>
      <c r="K16" s="14" t="s">
        <v>108</v>
      </c>
      <c r="M16" t="s">
        <v>37</v>
      </c>
    </row>
    <row r="17" spans="2:15" x14ac:dyDescent="0.45">
      <c r="B17" t="s">
        <v>25</v>
      </c>
      <c r="C17" t="str">
        <f>C16</f>
        <v>[{"did":"M:TEMP;C:99;S:EGWTESTTEST002","name":"ModbusTESTv100-test01","status":1,"class":"sensor","typeId":{"version":2,"id":"49ca3cc0-0459-4547-b62d-3fe6f31e2fe6","pid":"d4a78fb5-48be-4165-a255-2742185c376f"},"registeredPid":"d4a78fb5-48be-4165-a255-2742185c376f"},{"did":"M:TEMP;C:99;S:MGWTESTMODBUS001SHIO001","name":"ModbusTCP-TEST01","status":1,"class":"sensor","typeId":{"version":4,"id":"1fae8805-2d1a-482d-af68-c297df0dd59c","pid":"d4a78fb5-48be-4165-a255-2742185c376f"},"registeredPid":"d4a78fb5-48be-4165-a255-2742185c376f"},{"did":"M:AMNM;C:00;S:AT9L180052","name":"AT9l180052_12","status":3,"class":"sensor","typeId":{"version":1,"id":"ec47ccb1-7865-4f88-a52f-14e76485a0de","pid":"83112148-9fdd-4263-92cf-5e7200ee70c7"},"registeredPid":"c7b83640-b61c-4016-a20c-36c3408afd41"},{"did":"M:MTCH;C:01;S:SHIOMGWTEST011","name":"SHIO  MGW   TEST  011","status":3,"class":"gateway","typeId":{"version":0,"id":"005bec93-eedb-44bb-b369-38ccae7328bc","pid":"4be4709a-2eb0-492f-81b4-98f0314e5d1d"},"registeredPid":"c7b83640-b61c-4016-a20c-36c3408afd41"},{"did":"M:AMNM;C:00;S:AT9L180057","name":"AT9L180057","status":3,"class":"sensor","typeId":{"version":1,"id":"ec47ccb1-7865-4f88-a52f-14e76485a0de","pid":"83112148-9fdd-4263-92cf-5e7200ee70c7"},"registeredPid":"c7b83640-b61c-4016-a20c-36c3408afd41"}]</v>
      </c>
      <c r="E17" t="s">
        <v>37</v>
      </c>
      <c r="F17" t="s">
        <v>25</v>
      </c>
      <c r="G17" t="str">
        <f>G16</f>
        <v>{"activatedTs":"2021-03-18T07:28:20.5116136Z","attrs":{"appKey":"8FDE0DDEE65B8A828AFAFD9F6605B0D1","appEUI":"59-4B-47-57-30-32-30-31","devEUI":"00-00-64-FF-FE-A3-F2-EC","loraType":"A","appPort":"2","ackAttempts":"true","ackRetries":"0","rxWindow":"2"},"class":"sensor","configInfo":{"desiredVer":1,"reportedVer":0},"config":[{"key":"firmwareVersion","name":"Firmware Version","progress":2,"read":{"ts":null,"value":"1.0"},"unit":null,"write":{"ts":null,"value":"1.0"}},{"key":"adaptDataRate","name":"Adaptive Data Rate","progress":2,"read":{"ts":"2021-04-29T06:52:32.630758Z","value":"0"},"unit":null,"write":{"ts":null,"value":"0"}},{"key":"loraClass","name":"LoRa Class","progress":2,"read":{"ts":"2021-04-29T06:52:32.630758Z","value":"0"},"unit":null,"write":{"ts":null,"value":"0"}},{"key":"retryTimes","name":"Retry Times","progress":2,"read":{"ts":"2021-04-29T06:52:32.630758Z","value":"8"},"unit":null,"write":{"ts":null,"value":"8"}},{"key":"transInterval","name":"Transmission Interval","progress":2,"read":{"ts":"2021-04-29T06:52:32.630758Z","value":"1200"},"unit":"s","write":{"ts":"2021-03-31T01:42:52.7034345Z","value":"1200"}},{"key":"inputInterval","name":"Input Interval","progress":2,"read":{"ts":"2021-04-29T06:52:42.645231Z","value":"0"},"unit":"ms","write":{"ts":null,"value":"0"}},{"key":"highAlrmDetection","name":"High Alarm Detection","progress":2,"read":{"ts":"2021-04-29T06:52:52.754913Z","value":"0"},"unit":null,"write":{"ts":null,"value":"0"}},{"key":"highAlrmOnDelay","name":"High Alarm On Delay","progress":2,"read":{"ts":"2021-04-29T06:52:52.754913Z","value":"1"},"unit":null,"write":{"ts":null,"value":"1"}},{"key":"highAlrmThreshold","name":"High Alarm Threshold","progress":2,"read":{"ts":"2021-04-29T06:52:52.754913Z","value":"300"},"unit":"V","write":{"ts":null,"value":"0"}},{"key":"lowAlrmDetection","name":"Low Alarm Detection","progress":2,"read":{"ts":"2021-04-29T06:53:02.950524Z","value":"0"},"unit":null,"write":{"ts":null,"value":"0"}},{"key":"lowAlrmOnDelay","name":"Low Alarm On Delay","progress":2,"read":{"ts":"2021-04-29T06:53:02.950524Z","value":"1"},"unit":null,"write":{"ts":null,"value":"1"}},{"key":"lowAlrmThreshold","name":"Low Alarm Threshold","progress":2,"read":{"ts":"2021-04-29T06:53:02.950524Z","value":"0"},"unit":"V","write":{"ts":null,"value":"0"}}],"did":"M:AMNM;C:00;S:AT9L180057","extAttr":{},"name":"AT9L180057","parentGatewayId":"M:MTCH;C:01;S:SHIOMGWTEST011","pid":"28b8fb8a-3b82-4d13-a49c-e8b582e140ab","props":[{"conversions":[],"meta":{},"dataType":"Double","key":"0X51AnalogInput","name":"Analog Input","seriesId":"347d94fb-a965-43eb-9ef6-1ab7b27b0534","sysGen":null,"uom":"voltage"},{"conversions":[],"meta":{},"dataType":"String","key":"currentLocation","name":"Current Location","seriesId":"7f91cfde-a09e-4d97-b7d6-a86add300d6c","sysGen":null,"uom":"point"},{"conversions":[],"meta":{},"dataType":"Double","key":"lsnr","name":"Lora SNR ratio","seriesId":"5ed39b66-5ae0-46c8-b6e2-343d8c4628c2","sysGen":null,"uom":"decibel"},{"conversions":[],"meta":{},"dataType":"Int32","key":"rssi","name":"Received Signal Strength Indication","seriesId":"f0998a8e-ffa3-4064-9ba6-463b7e77d22c","sysGen":null,"uom":"decibelMilliwatt"},{"conversions":[],"meta":{},"dataType":"Int32","key":"seqn","name":"Packet sequence number","seriesId":"86099fd9-7dda-41ed-b0e9-9a8e80c9b8d3","sysGen":null,"uom":""},{"conversions":[],"meta":{},"dataType":"Double","key":"freq","name":"RX central frequency","seriesId":"c71f9d3c-9fa2-4200-bc91-8d4554950432","sysGen":null,"uom":"megaHertz"}],"registeredPid":"c7b83640-b61c-4016-a20c-36c3408afd41","serialNumber":null,"status":3,"typeId":{"version":1,"id":"ec47ccb1-7865-4f88-a52f-14e76485a0de","pid":"83112148-9fdd-4263-92cf-5e7200ee70c7"}}</v>
      </c>
      <c r="I17" t="s">
        <v>37</v>
      </c>
      <c r="J17" t="s">
        <v>25</v>
      </c>
      <c r="K17" t="str">
        <f>K16</f>
        <v>[]</v>
      </c>
      <c r="M17" t="s">
        <v>37</v>
      </c>
    </row>
    <row r="19" spans="2:15" x14ac:dyDescent="0.45">
      <c r="B19" t="s">
        <v>90</v>
      </c>
      <c r="D19" t="s">
        <v>67</v>
      </c>
      <c r="F19" t="s">
        <v>67</v>
      </c>
      <c r="G19" t="s">
        <v>101</v>
      </c>
      <c r="H19" t="s">
        <v>68</v>
      </c>
      <c r="J19" t="s">
        <v>33</v>
      </c>
      <c r="K19" t="s">
        <v>41</v>
      </c>
      <c r="L19" t="s">
        <v>42</v>
      </c>
      <c r="N19" s="12" t="s">
        <v>48</v>
      </c>
      <c r="O19" t="s">
        <v>42</v>
      </c>
    </row>
    <row r="20" spans="2:15" x14ac:dyDescent="0.45">
      <c r="C20" t="s">
        <v>19</v>
      </c>
      <c r="D20" t="s">
        <v>69</v>
      </c>
      <c r="G20" t="s">
        <v>75</v>
      </c>
      <c r="H20" t="s">
        <v>82</v>
      </c>
    </row>
    <row r="21" spans="2:15" x14ac:dyDescent="0.45">
      <c r="C21" t="s">
        <v>22</v>
      </c>
      <c r="D21" t="s">
        <v>71</v>
      </c>
      <c r="G21" t="s">
        <v>76</v>
      </c>
      <c r="H21" t="s">
        <v>102</v>
      </c>
    </row>
    <row r="22" spans="2:15" x14ac:dyDescent="0.45">
      <c r="C22" t="s">
        <v>23</v>
      </c>
      <c r="D22" t="s">
        <v>72</v>
      </c>
      <c r="G22" t="s">
        <v>77</v>
      </c>
      <c r="H22" t="s">
        <v>103</v>
      </c>
    </row>
    <row r="23" spans="2:15" x14ac:dyDescent="0.45">
      <c r="C23" t="s">
        <v>20</v>
      </c>
      <c r="D23" t="s">
        <v>70</v>
      </c>
      <c r="G23" t="s">
        <v>78</v>
      </c>
      <c r="H23" t="s">
        <v>104</v>
      </c>
    </row>
    <row r="24" spans="2:15" x14ac:dyDescent="0.45">
      <c r="C24" t="s">
        <v>21</v>
      </c>
      <c r="D24" t="s">
        <v>73</v>
      </c>
      <c r="G24" t="s">
        <v>79</v>
      </c>
      <c r="H24" t="s">
        <v>105</v>
      </c>
    </row>
    <row r="25" spans="2:15" x14ac:dyDescent="0.45">
      <c r="C25" t="s">
        <v>24</v>
      </c>
      <c r="G25" t="s">
        <v>80</v>
      </c>
      <c r="H25" t="s">
        <v>106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device_list">
                <anchor moveWithCells="1" sizeWithCells="1">
                  <from>
                    <xdr:col>1</xdr:col>
                    <xdr:colOff>457200</xdr:colOff>
                    <xdr:row>13</xdr:row>
                    <xdr:rowOff>30480</xdr:rowOff>
                  </from>
                  <to>
                    <xdr:col>2</xdr:col>
                    <xdr:colOff>647700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_device_details">
                <anchor moveWithCells="1" sizeWithCells="1">
                  <from>
                    <xdr:col>5</xdr:col>
                    <xdr:colOff>754380</xdr:colOff>
                    <xdr:row>13</xdr:row>
                    <xdr:rowOff>53340</xdr:rowOff>
                  </from>
                  <to>
                    <xdr:col>6</xdr:col>
                    <xdr:colOff>952500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T_timeseries_value">
                <anchor moveWithCells="1" sizeWithCells="1">
                  <from>
                    <xdr:col>9</xdr:col>
                    <xdr:colOff>205740</xdr:colOff>
                    <xdr:row>13</xdr:row>
                    <xdr:rowOff>45720</xdr:rowOff>
                  </from>
                  <to>
                    <xdr:col>10</xdr:col>
                    <xdr:colOff>967740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ells_Clear">
                <anchor moveWithCells="1" sizeWithCells="1">
                  <from>
                    <xdr:col>10</xdr:col>
                    <xdr:colOff>1188720</xdr:colOff>
                    <xdr:row>13</xdr:row>
                    <xdr:rowOff>45720</xdr:rowOff>
                  </from>
                  <to>
                    <xdr:col>11</xdr:col>
                    <xdr:colOff>312420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GET_device_list">
                <anchor moveWithCells="1" sizeWithCells="1">
                  <from>
                    <xdr:col>1</xdr:col>
                    <xdr:colOff>457200</xdr:colOff>
                    <xdr:row>13</xdr:row>
                    <xdr:rowOff>30480</xdr:rowOff>
                  </from>
                  <to>
                    <xdr:col>2</xdr:col>
                    <xdr:colOff>647700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GET_device_details">
                <anchor moveWithCells="1" sizeWithCells="1">
                  <from>
                    <xdr:col>5</xdr:col>
                    <xdr:colOff>754380</xdr:colOff>
                    <xdr:row>13</xdr:row>
                    <xdr:rowOff>53340</xdr:rowOff>
                  </from>
                  <to>
                    <xdr:col>6</xdr:col>
                    <xdr:colOff>952500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GET_timeseries_value">
                <anchor moveWithCells="1" sizeWithCells="1">
                  <from>
                    <xdr:col>9</xdr:col>
                    <xdr:colOff>205740</xdr:colOff>
                    <xdr:row>13</xdr:row>
                    <xdr:rowOff>45720</xdr:rowOff>
                  </from>
                  <to>
                    <xdr:col>10</xdr:col>
                    <xdr:colOff>967740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Cells_Clear">
                <anchor moveWithCells="1" sizeWithCells="1">
                  <from>
                    <xdr:col>10</xdr:col>
                    <xdr:colOff>1188720</xdr:colOff>
                    <xdr:row>13</xdr:row>
                    <xdr:rowOff>45720</xdr:rowOff>
                  </from>
                  <to>
                    <xdr:col>11</xdr:col>
                    <xdr:colOff>312420</xdr:colOff>
                    <xdr:row>14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POST_access_token_get">
                <anchor moveWithCells="1" sizeWithCells="1">
                  <from>
                    <xdr:col>3</xdr:col>
                    <xdr:colOff>289560</xdr:colOff>
                    <xdr:row>9</xdr:row>
                    <xdr:rowOff>68580</xdr:rowOff>
                  </from>
                  <to>
                    <xdr:col>3</xdr:col>
                    <xdr:colOff>1432560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25FE-AB07-4355-9251-D2585CFADA4E}">
  <sheetPr codeName="Sheet4"/>
  <dimension ref="B5:B16"/>
  <sheetViews>
    <sheetView workbookViewId="0">
      <selection activeCell="I15" sqref="I15"/>
    </sheetView>
  </sheetViews>
  <sheetFormatPr defaultRowHeight="18" x14ac:dyDescent="0.45"/>
  <sheetData>
    <row r="5" spans="2:2" x14ac:dyDescent="0.45">
      <c r="B5" t="s">
        <v>52</v>
      </c>
    </row>
    <row r="6" spans="2:2" x14ac:dyDescent="0.45">
      <c r="B6" t="s">
        <v>56</v>
      </c>
    </row>
    <row r="9" spans="2:2" x14ac:dyDescent="0.45">
      <c r="B9" t="s">
        <v>53</v>
      </c>
    </row>
    <row r="10" spans="2:2" x14ac:dyDescent="0.45">
      <c r="B10" t="s">
        <v>54</v>
      </c>
    </row>
    <row r="11" spans="2:2" x14ac:dyDescent="0.45">
      <c r="B11" t="s">
        <v>92</v>
      </c>
    </row>
    <row r="14" spans="2:2" x14ac:dyDescent="0.45">
      <c r="B14" t="s">
        <v>55</v>
      </c>
    </row>
    <row r="16" spans="2:2" x14ac:dyDescent="0.45">
      <c r="B16" t="s">
        <v>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step0_1</vt:lpstr>
      <vt:lpstr>step1_0</vt:lpstr>
      <vt:lpstr>step2_0</vt:lpstr>
      <vt:lpstr>step3_0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Yokogawa S.I.</dc:creator>
  <cp:lastModifiedBy>Yokogawa S.I.</cp:lastModifiedBy>
  <dcterms:created xsi:type="dcterms:W3CDTF">2021-03-17T03:56:06Z</dcterms:created>
  <dcterms:modified xsi:type="dcterms:W3CDTF">2021-05-06T02:33:34Z</dcterms:modified>
</cp:coreProperties>
</file>